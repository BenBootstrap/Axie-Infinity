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enBootstrap\video_2021_05\"/>
    </mc:Choice>
  </mc:AlternateContent>
  <xr:revisionPtr revIDLastSave="0" documentId="13_ncr:1_{3F75501D-55F0-45D5-BB7F-08EC48D71373}" xr6:coauthVersionLast="47" xr6:coauthVersionMax="47" xr10:uidLastSave="{00000000-0000-0000-0000-000000000000}"/>
  <bookViews>
    <workbookView xWindow="0" yWindow="2580" windowWidth="21630" windowHeight="13020" activeTab="1" xr2:uid="{F0771C19-710F-48C8-A4E8-AE0906BD2842}"/>
  </bookViews>
  <sheets>
    <sheet name="BodyCard" sheetId="3" r:id="rId1"/>
    <sheet name="ClassStats" sheetId="2" r:id="rId2"/>
    <sheet name="Shopping" sheetId="1" r:id="rId3"/>
  </sheets>
  <functionGroups builtInGroupCount="19"/>
  <definedNames>
    <definedName name="_xlnm._FilterDatabase" localSheetId="0" hidden="1">BodyCard!$A$1:$I$133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" i="2" l="1"/>
  <c r="O9" i="2"/>
  <c r="P1" i="2"/>
  <c r="Q1" i="2"/>
  <c r="R1" i="2"/>
  <c r="O1" i="2"/>
  <c r="O3" i="1"/>
  <c r="O4" i="1"/>
  <c r="O5" i="1"/>
  <c r="O6" i="1"/>
  <c r="O7" i="1"/>
  <c r="O8" i="1"/>
  <c r="O2" i="1"/>
  <c r="O4" i="2"/>
  <c r="P4" i="2"/>
  <c r="Q4" i="2"/>
  <c r="R4" i="2"/>
  <c r="O5" i="2"/>
  <c r="P5" i="2"/>
  <c r="Q5" i="2"/>
  <c r="R5" i="2"/>
  <c r="O6" i="2"/>
  <c r="P6" i="2"/>
  <c r="Q6" i="2"/>
  <c r="R6" i="2"/>
  <c r="O7" i="2"/>
  <c r="P7" i="2"/>
  <c r="Q7" i="2"/>
  <c r="R7" i="2"/>
  <c r="O8" i="2"/>
  <c r="P8" i="2"/>
  <c r="Q8" i="2"/>
  <c r="R8" i="2"/>
  <c r="P9" i="2"/>
  <c r="Q9" i="2"/>
  <c r="R9" i="2"/>
  <c r="O10" i="2"/>
  <c r="P10" i="2"/>
  <c r="Q10" i="2"/>
  <c r="R10" i="2"/>
  <c r="O11" i="2"/>
  <c r="P11" i="2"/>
  <c r="Q11" i="2"/>
  <c r="R11" i="2"/>
  <c r="R3" i="2"/>
  <c r="Q3" i="2"/>
  <c r="P3" i="2"/>
  <c r="D4" i="1" a="1"/>
  <c r="D3" i="1" a="1"/>
  <c r="D2" i="1" a="1"/>
  <c r="D8" i="1" a="1"/>
  <c r="D7" i="1" a="1"/>
  <c r="D6" i="1" a="1"/>
  <c r="D5" i="1" a="1"/>
  <c r="R12" i="2" l="1"/>
  <c r="Q12" i="2"/>
  <c r="P12" i="2"/>
  <c r="D4" i="1"/>
  <c r="D3" i="1"/>
  <c r="D2" i="1"/>
  <c r="O12" i="2"/>
  <c r="D8" i="1"/>
  <c r="D7" i="1"/>
  <c r="D6" i="1"/>
  <c r="D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<sst xmlns="http://schemas.openxmlformats.org/spreadsheetml/2006/main" count="942" uniqueCount="445">
  <si>
    <t>Class</t>
  </si>
  <si>
    <t>Breed</t>
  </si>
  <si>
    <t>Purity</t>
  </si>
  <si>
    <t>Comments</t>
  </si>
  <si>
    <t>Aqua</t>
  </si>
  <si>
    <t>Plant</t>
  </si>
  <si>
    <t>None</t>
  </si>
  <si>
    <t>Spot Price (ETH)</t>
  </si>
  <si>
    <t>Auction End Price (ETH)</t>
  </si>
  <si>
    <t>Purchased</t>
  </si>
  <si>
    <t>Dusk</t>
  </si>
  <si>
    <t>Cards</t>
  </si>
  <si>
    <t>Auction End Time</t>
  </si>
  <si>
    <t>Reptile</t>
  </si>
  <si>
    <t>Bug</t>
  </si>
  <si>
    <t>HP</t>
  </si>
  <si>
    <t>SP</t>
  </si>
  <si>
    <t>SK</t>
  </si>
  <si>
    <t>MO</t>
  </si>
  <si>
    <t>Dawn</t>
  </si>
  <si>
    <t>Mech</t>
  </si>
  <si>
    <t>Beast</t>
  </si>
  <si>
    <t>Bird</t>
  </si>
  <si>
    <t>Eyes</t>
  </si>
  <si>
    <t>Ears</t>
  </si>
  <si>
    <t>Mouth</t>
  </si>
  <si>
    <t>Back</t>
  </si>
  <si>
    <t>Tail</t>
  </si>
  <si>
    <t>Body Part</t>
  </si>
  <si>
    <t>Part Name</t>
  </si>
  <si>
    <t>Card Name</t>
  </si>
  <si>
    <t>Card Description</t>
  </si>
  <si>
    <t>Lam</t>
  </si>
  <si>
    <t>Angry Lam</t>
  </si>
  <si>
    <t>Deal 120% damage if this Axie’s HP is below 50%</t>
  </si>
  <si>
    <t>A</t>
  </si>
  <si>
    <t>Risky Fish</t>
  </si>
  <si>
    <t>Fish Hook</t>
  </si>
  <si>
    <t>Apply Attack+ to this Axie when attacking Plant, Reptile or Dusk targets.</t>
  </si>
  <si>
    <t>Piranha</t>
  </si>
  <si>
    <t>Crimson Water</t>
  </si>
  <si>
    <t>Target injured enemy if this Axie’s HP is below 50%.</t>
  </si>
  <si>
    <t>B</t>
  </si>
  <si>
    <t>Catfish</t>
  </si>
  <si>
    <t>Swallow</t>
  </si>
  <si>
    <t>Heal this Axie by the damage inflicted with this card.</t>
  </si>
  <si>
    <t>Tier</t>
  </si>
  <si>
    <t>S</t>
  </si>
  <si>
    <t>Shoal Star</t>
  </si>
  <si>
    <t>Star Shuriken</t>
  </si>
  <si>
    <t>Target cannot enter Last Stand if this card brings its HP to zero.</t>
  </si>
  <si>
    <t>Oranda</t>
  </si>
  <si>
    <t>Hero’s Bane</t>
  </si>
  <si>
    <t>End target’s Last Stand.</t>
  </si>
  <si>
    <t>Clamshell</t>
  </si>
  <si>
    <t>Clam Slash</t>
  </si>
  <si>
    <t>Apply Attack+ to this Axie when attacking Beast, Bug or Mech cards.</t>
  </si>
  <si>
    <t>Anemone</t>
  </si>
  <si>
    <t>Aquaponics</t>
  </si>
  <si>
    <t>Successful attacks restore 50 HP for each Anemone part this Axie possesses.</t>
  </si>
  <si>
    <t>C</t>
  </si>
  <si>
    <t>Teal Shell</t>
  </si>
  <si>
    <t>Deep Sea Gore</t>
  </si>
  <si>
    <t>Add 30% to this Axie’s shield when attacking.</t>
  </si>
  <si>
    <t>Babylonia</t>
  </si>
  <si>
    <t>Shell Jab</t>
  </si>
  <si>
    <t>Deal 130% damage when attacking an idle target.</t>
  </si>
  <si>
    <t>Horn</t>
  </si>
  <si>
    <t>Goldfish</t>
  </si>
  <si>
    <t>Swift Escape</t>
  </si>
  <si>
    <t>Apply Speed + to this Axie for 2 rounds when attacked.</t>
  </si>
  <si>
    <t>Perch</t>
  </si>
  <si>
    <t>Spinal Tap</t>
  </si>
  <si>
    <t>Prioritize idle taret when comboed with at least 2 additional cards.</t>
  </si>
  <si>
    <t>Hermit</t>
  </si>
  <si>
    <t>Shelter</t>
  </si>
  <si>
    <t>Disable critical strikes on this Axie during this round.</t>
  </si>
  <si>
    <t>Aqua Vitality</t>
  </si>
  <si>
    <t>Sponge</t>
  </si>
  <si>
    <t>Shipwreck</t>
  </si>
  <si>
    <t>Apply Attack+ to this Axie if its shield breaks.</t>
  </si>
  <si>
    <t>Blue Moon</t>
  </si>
  <si>
    <t>Scale Dart (Aqua)</t>
  </si>
  <si>
    <t>Draw a card if target is in Last Stand.</t>
  </si>
  <si>
    <t>Nimo</t>
  </si>
  <si>
    <t>Tail Slap</t>
  </si>
  <si>
    <t>Gain 1 energy when comboed with another card.</t>
  </si>
  <si>
    <t>Navaga</t>
  </si>
  <si>
    <t>Flanking Smack</t>
  </si>
  <si>
    <t>Deal 120% damage if this Axie attacks first.</t>
  </si>
  <si>
    <t>Koi</t>
  </si>
  <si>
    <t>Upstream Swim</t>
  </si>
  <si>
    <t>Apply Speed+ to this Axie for 2 rounds when comboed with another Aquatic class card.</t>
  </si>
  <si>
    <t>Shrimp</t>
  </si>
  <si>
    <t>Chitin Jump</t>
  </si>
  <si>
    <t>Prioritizes furthest target.</t>
  </si>
  <si>
    <t>D</t>
  </si>
  <si>
    <t>Ranchu</t>
  </si>
  <si>
    <t>Water Sphere</t>
  </si>
  <si>
    <t>Apply Chill to target for 2 rounds.</t>
  </si>
  <si>
    <t>Tadpole</t>
  </si>
  <si>
    <t>Black Bubble</t>
  </si>
  <si>
    <t>Apply Jinx to target for 2 rounds.</t>
  </si>
  <si>
    <t>Nut Cracker</t>
  </si>
  <si>
    <t>Nut Crack</t>
  </si>
  <si>
    <t>Deal 120% damage when comboed with another ‘Nut Cracker’ card.</t>
  </si>
  <si>
    <t>Goda</t>
  </si>
  <si>
    <t>Piercing Sound</t>
  </si>
  <si>
    <t>Destroy 1 of your opponent’s energy.</t>
  </si>
  <si>
    <t>Confident</t>
  </si>
  <si>
    <t>Self Rally</t>
  </si>
  <si>
    <t>Apply 2 Moral+ to this Axie for 2 rounds.</t>
  </si>
  <si>
    <t>Axie Kiss</t>
  </si>
  <si>
    <t>Death Mark</t>
  </si>
  <si>
    <t>Apply Lethal to target if this Axie’s HP is below 30%.</t>
  </si>
  <si>
    <t>Imp</t>
  </si>
  <si>
    <t>Ivory Stab</t>
  </si>
  <si>
    <t>Gain 1 energy per critical strike dealt by your team this round.</t>
  </si>
  <si>
    <t>Dual Blade</t>
  </si>
  <si>
    <t>Sinister Strike</t>
  </si>
  <si>
    <t>Deal 250% damage on critical strikes.</t>
  </si>
  <si>
    <t>Little Branch</t>
  </si>
  <si>
    <t>Branch Charge</t>
  </si>
  <si>
    <t>Increase crit chance by 20% if chained or comboed with a plant card.</t>
  </si>
  <si>
    <t>Arco</t>
  </si>
  <si>
    <t>Acrobatic</t>
  </si>
  <si>
    <t>Apply Speed+ to this Axie for 2 rounds when attacking.</t>
  </si>
  <si>
    <t>Pocky</t>
  </si>
  <si>
    <t>Sugar Rush</t>
  </si>
  <si>
    <t>Deal 10% additional damage for each allied Bug Axie.</t>
  </si>
  <si>
    <t>Merry</t>
  </si>
  <si>
    <t>Merry Legion</t>
  </si>
  <si>
    <t>Add 20% shield to this Axie when played in a chain.</t>
  </si>
  <si>
    <t>Ronin</t>
  </si>
  <si>
    <t>Single Combat</t>
  </si>
  <si>
    <t>Guaranteed critical strike when comboed with at least 2 other cards.</t>
  </si>
  <si>
    <t>Jaguar</t>
  </si>
  <si>
    <t>Nitro Leap</t>
  </si>
  <si>
    <t>Always strike first if this Axie is in Last Stand.</t>
  </si>
  <si>
    <t>Risky Beast</t>
  </si>
  <si>
    <t>Revenge Arrow</t>
  </si>
  <si>
    <t>Deal 150% damage if this Axie is in Last Stand.</t>
  </si>
  <si>
    <t>Timber</t>
  </si>
  <si>
    <t>Woodman Power</t>
  </si>
  <si>
    <t>Add Shield equal to the damage this card deals to Plant targets.</t>
  </si>
  <si>
    <t>Furball</t>
  </si>
  <si>
    <t>Juggling Balls</t>
  </si>
  <si>
    <t>Strike 3 times.</t>
  </si>
  <si>
    <t>E</t>
  </si>
  <si>
    <t>Hero</t>
  </si>
  <si>
    <t>Heroic Reward</t>
  </si>
  <si>
    <t>Draw a card when attacking an Aquatic, Bird or Dawn target.</t>
  </si>
  <si>
    <t>Nut Throw</t>
  </si>
  <si>
    <t>Cottontail</t>
  </si>
  <si>
    <t>Luna Absorb</t>
  </si>
  <si>
    <t>Gain 1 energy.</t>
  </si>
  <si>
    <t>Hare</t>
  </si>
  <si>
    <t>Hare Dagger</t>
  </si>
  <si>
    <t>Draw a card if this Axie attacks at the beginning of the round</t>
  </si>
  <si>
    <t>Rice</t>
  </si>
  <si>
    <t>Night Steal</t>
  </si>
  <si>
    <t>Steal 1 energy from your opponent when comboed with another card.</t>
  </si>
  <si>
    <t>Gerbil</t>
  </si>
  <si>
    <t>Gerbil Jump</t>
  </si>
  <si>
    <t>Skip the closest target if there are 2 or more enemies remaining.</t>
  </si>
  <si>
    <t>Shiba</t>
  </si>
  <si>
    <t>Rampant Howl</t>
  </si>
  <si>
    <t>Apply Morale+ to your team for 2 rounds if this Axie attacks while in Last Stand.</t>
  </si>
  <si>
    <t>Peace Maker</t>
  </si>
  <si>
    <t>Peace Treaty</t>
  </si>
  <si>
    <t>Apply Attack- on target.</t>
  </si>
  <si>
    <t>Little Owl</t>
  </si>
  <si>
    <t>Dark Swoop</t>
  </si>
  <si>
    <t>Target fastest enemy.</t>
  </si>
  <si>
    <t>Hungry Bird</t>
  </si>
  <si>
    <t>Insectivore</t>
  </si>
  <si>
    <t>Target Bug class enemy if this Axie’s HP is below 50%.</t>
  </si>
  <si>
    <t>Doubletalk</t>
  </si>
  <si>
    <t>Soothing Song</t>
  </si>
  <si>
    <t>Apply Sleep to target.</t>
  </si>
  <si>
    <t>Eggshell</t>
  </si>
  <si>
    <t>Eggbomb</t>
  </si>
  <si>
    <t>Apply Aroma on this Axie until next round.</t>
  </si>
  <si>
    <t>Kestrel</t>
  </si>
  <si>
    <t>Headshot</t>
  </si>
  <si>
    <t>Disable target’s horn cards next round.</t>
  </si>
  <si>
    <t>Trump</t>
  </si>
  <si>
    <t>Air Force One</t>
  </si>
  <si>
    <t>Deal 120% damage when chained with another “Trump” card.</t>
  </si>
  <si>
    <t>Wing Horn</t>
  </si>
  <si>
    <t>Smart Shot</t>
  </si>
  <si>
    <t>Feather Spear</t>
  </si>
  <si>
    <t>Feather Lunge</t>
  </si>
  <si>
    <t>Deal 120% damage when chained with another “Lunge” card.</t>
  </si>
  <si>
    <t>Cuckoo</t>
  </si>
  <si>
    <t>Cockadoodledoo</t>
  </si>
  <si>
    <t>Apply Attack+ to this Axie.</t>
  </si>
  <si>
    <t>Pigeon Post</t>
  </si>
  <si>
    <t>Blackmail</t>
  </si>
  <si>
    <t>Transfer all debuffs on this Axie to target.</t>
  </si>
  <si>
    <t>Raven</t>
  </si>
  <si>
    <t>Ill-omened</t>
  </si>
  <si>
    <t>Cupid</t>
  </si>
  <si>
    <t>Heart Break</t>
  </si>
  <si>
    <t>Apply Morale- to enemy for 2 rounds</t>
  </si>
  <si>
    <t>Balloon</t>
  </si>
  <si>
    <t>Balloon Pop</t>
  </si>
  <si>
    <t>Apply Fear to target for 1 turn. If defending, apply Fear to self until next round.</t>
  </si>
  <si>
    <t>Tri Feather</t>
  </si>
  <si>
    <t>Triple Threat</t>
  </si>
  <si>
    <t>Attack twice if this Axie has any debuffs.</t>
  </si>
  <si>
    <t>Kingfisher</t>
  </si>
  <si>
    <t>Patient Hunter</t>
  </si>
  <si>
    <t>Target an Aquatic class enemy if this Axie’s HP is below 50%.</t>
  </si>
  <si>
    <t>Post Fight</t>
  </si>
  <si>
    <t>All-out Shot</t>
  </si>
  <si>
    <t>Inflict 30% of this Axie’s max HP to itself.</t>
  </si>
  <si>
    <t>Granma’s Fan</t>
  </si>
  <si>
    <t>Cool Breeze</t>
  </si>
  <si>
    <t>Early Bird</t>
  </si>
  <si>
    <t>The Last One</t>
  </si>
  <si>
    <t>Risky Feather</t>
  </si>
  <si>
    <t>Apply 2 Attack- to this Axie.</t>
  </si>
  <si>
    <t>Feather Fan</t>
  </si>
  <si>
    <t>Sunder Armor</t>
  </si>
  <si>
    <t>Add 20% shield to this Axie for each debuff it possesses.</t>
  </si>
  <si>
    <t>Cloud</t>
  </si>
  <si>
    <t>Puffy Smack</t>
  </si>
  <si>
    <t>Skip targets that are in Last Stand.</t>
  </si>
  <si>
    <t>Cute Bunny</t>
  </si>
  <si>
    <t>Terror Chomp</t>
  </si>
  <si>
    <t>Apply Fear to target for 2 turns when played in a Chain.</t>
  </si>
  <si>
    <t>Mosquito</t>
  </si>
  <si>
    <t>Blood Taste</t>
  </si>
  <si>
    <t>Pincer</t>
  </si>
  <si>
    <t>Sunder Claw</t>
  </si>
  <si>
    <t>Randomly discard 1 card from your enemy’s hand.</t>
  </si>
  <si>
    <t>Square Teeth</t>
  </si>
  <si>
    <t>Mite Bite</t>
  </si>
  <si>
    <t>Add 100% more damage when comboed with another card.</t>
  </si>
  <si>
    <t>Leaf Bug</t>
  </si>
  <si>
    <t>Disguise</t>
  </si>
  <si>
    <t>Gain 1 energy when comboed with a plant card.</t>
  </si>
  <si>
    <t>Antenna</t>
  </si>
  <si>
    <t>Bug Signal</t>
  </si>
  <si>
    <t>Steal energy from your opponent when chained with another ‘Bug Signal’ card.</t>
  </si>
  <si>
    <t>Parasite</t>
  </si>
  <si>
    <t>Third Glance</t>
  </si>
  <si>
    <t>Laggin</t>
  </si>
  <si>
    <t>Mystic Rush</t>
  </si>
  <si>
    <t>Add Speed- to target for 2 rounds.</t>
  </si>
  <si>
    <t>Caterpillars</t>
  </si>
  <si>
    <t>Grub Surprise</t>
  </si>
  <si>
    <t>Apply Fear to shielded targets.</t>
  </si>
  <si>
    <t>Pliers</t>
  </si>
  <si>
    <t>Dull Grip</t>
  </si>
  <si>
    <t>Deal 30% more damage to shielded targets.</t>
  </si>
  <si>
    <t>Snail Shell</t>
  </si>
  <si>
    <t>Sticky Goo</t>
  </si>
  <si>
    <t>Stun attacker if this Axie’s shield breaks. Can only trigger once per round.</t>
  </si>
  <si>
    <t>Spiky Wing</t>
  </si>
  <si>
    <t>Buzzing Wind</t>
  </si>
  <si>
    <t>Apply Fragile to target until next round.</t>
  </si>
  <si>
    <t>Sandal</t>
  </si>
  <si>
    <t>Bug Splat</t>
  </si>
  <si>
    <t>Deal 50% more damage when attacking Bug targets.</t>
  </si>
  <si>
    <t>Buzz Buzz</t>
  </si>
  <si>
    <t>Bug Noise</t>
  </si>
  <si>
    <t>Apply Attack- to target.</t>
  </si>
  <si>
    <t>Garish Worm</t>
  </si>
  <si>
    <t>Barb Strike</t>
  </si>
  <si>
    <t>Apply 2 poison to target when played in a chain.</t>
  </si>
  <si>
    <t>Scarab</t>
  </si>
  <si>
    <t>Scarab Curse</t>
  </si>
  <si>
    <t>Target cannot be healed until next round.</t>
  </si>
  <si>
    <t>Fish Snack</t>
  </si>
  <si>
    <t>Anesthetic Bait</t>
  </si>
  <si>
    <t>Apply stun when struck by Aquatic or Bird class cards. Can only trigger once per round.</t>
  </si>
  <si>
    <t>Thorny Caterpillar</t>
  </si>
  <si>
    <t>Allergic Reaction</t>
  </si>
  <si>
    <t>Deal 130% damage to debuffed targets.</t>
  </si>
  <si>
    <t>Pupae</t>
  </si>
  <si>
    <t>Grub Explode</t>
  </si>
  <si>
    <t>Deal 200% damage when attacking in Last Stand. Axie’s Last Stand ends after it attacks.</t>
  </si>
  <si>
    <t>Twin Tail</t>
  </si>
  <si>
    <t>Twin Needle</t>
  </si>
  <si>
    <t>Attack twice when comboed with another card.</t>
  </si>
  <si>
    <t>Gravel Ant</t>
  </si>
  <si>
    <t>Numbing Lecretion</t>
  </si>
  <si>
    <t>Disable target’s melee card next round.</t>
  </si>
  <si>
    <t>F</t>
  </si>
  <si>
    <t>Ant</t>
  </si>
  <si>
    <t>Chemical Warfare</t>
  </si>
  <si>
    <t>Apply Stench to enemy for 1 round.</t>
  </si>
  <si>
    <t>Serious</t>
  </si>
  <si>
    <t>Vegetal Bite</t>
  </si>
  <si>
    <t>Zigzag</t>
  </si>
  <si>
    <t>Drain Bite</t>
  </si>
  <si>
    <t>Heal this Axie by the damage this card inflicts.</t>
  </si>
  <si>
    <t>Herbivore</t>
  </si>
  <si>
    <t>Vegan Diet</t>
  </si>
  <si>
    <t>Heal this Axie by the damage this card inflicts on a Plant target.</t>
  </si>
  <si>
    <t>Silence Whisper</t>
  </si>
  <si>
    <t>Forest Spirit</t>
  </si>
  <si>
    <t>Heal front teammate for 190 HP.</t>
  </si>
  <si>
    <t>Beech</t>
  </si>
  <si>
    <t>Wooden Stab</t>
  </si>
  <si>
    <t>Deal 120% damage if this Axie’s shield breaks.</t>
  </si>
  <si>
    <t>Cactus</t>
  </si>
  <si>
    <t>Pricky Trap</t>
  </si>
  <si>
    <t>Deal 120% damage if this Axie attacks last.</t>
  </si>
  <si>
    <t>Rose Bud</t>
  </si>
  <si>
    <t>Healing Aroma</t>
  </si>
  <si>
    <t>Heal this Axie for 120 HP.</t>
  </si>
  <si>
    <t>Bamboo Shot</t>
  </si>
  <si>
    <t>Bamboo Clan</t>
  </si>
  <si>
    <t>Increased 20% damage when chained with another plant card.</t>
  </si>
  <si>
    <t>Watermelon</t>
  </si>
  <si>
    <t>Seed Bullet</t>
  </si>
  <si>
    <t>Target the fastest enemy.</t>
  </si>
  <si>
    <t>Strawberry Shortcake</t>
  </si>
  <si>
    <t>Sweet Party</t>
  </si>
  <si>
    <t>Heal front teammate for 270 HP. If there are no front teammates, heal this Axie instead.</t>
  </si>
  <si>
    <t>Pumpkin</t>
  </si>
  <si>
    <t>October Treat</t>
  </si>
  <si>
    <t>Draw a card if this Axie’s shield doesn’t break this round.</t>
  </si>
  <si>
    <t>Bidens</t>
  </si>
  <si>
    <t>Cleanse Scent</t>
  </si>
  <si>
    <t>Remove all debuffs from this Axie.</t>
  </si>
  <si>
    <t>Mint</t>
  </si>
  <si>
    <t>Refresh</t>
  </si>
  <si>
    <t>Remove all debuffs from a teammate if its directly in front of this Axie.</t>
  </si>
  <si>
    <t>Shiitake</t>
  </si>
  <si>
    <t>Shroom’s Grace</t>
  </si>
  <si>
    <t>Watering Can</t>
  </si>
  <si>
    <t>Aqua Stock</t>
  </si>
  <si>
    <t>Gain 1 energy if this Axie is struck by an Aquatic card.</t>
  </si>
  <si>
    <t>Turnip</t>
  </si>
  <si>
    <t>Turnip Rocket</t>
  </si>
  <si>
    <t>Target a bird if comboed with 2 or more cards.</t>
  </si>
  <si>
    <t>Carrot</t>
  </si>
  <si>
    <t>Carrot Hammer</t>
  </si>
  <si>
    <t>Gain 1 energy if this Axie’s shield breaks. Can only trigger once per round.</t>
  </si>
  <si>
    <t>Hot Butt</t>
  </si>
  <si>
    <t>Spicy Surprise</t>
  </si>
  <si>
    <t>Disable target’s mouth cards next round.</t>
  </si>
  <si>
    <t>Hatsune</t>
  </si>
  <si>
    <t>Leek Leak</t>
  </si>
  <si>
    <t>When hit, disable the attacker’s ranged cards next round.</t>
  </si>
  <si>
    <t>Potato Leaf</t>
  </si>
  <si>
    <t>Aqua Deflect</t>
  </si>
  <si>
    <t>Cannot be targeted by Aquatic cards if this Axie has teammates remaining.</t>
  </si>
  <si>
    <t>Yam</t>
  </si>
  <si>
    <t>Gas Unleash</t>
  </si>
  <si>
    <t>Apply Poison each time this card is used to attack or defend.</t>
  </si>
  <si>
    <t>Cattail</t>
  </si>
  <si>
    <t>Cattail Slap</t>
  </si>
  <si>
    <t>Draw a card if struck by a Beast, Bug, or Mech card.</t>
  </si>
  <si>
    <t>Tiny Turtle</t>
  </si>
  <si>
    <t>Chomp</t>
  </si>
  <si>
    <t>Apply Stun to enemy when comboed with at least 2 additional cards.</t>
  </si>
  <si>
    <t>Kotaro</t>
  </si>
  <si>
    <t>Kotaro Bite</t>
  </si>
  <si>
    <t>Gain 1 energy if target is faster than this Axie.</t>
  </si>
  <si>
    <t>Toothless Bite</t>
  </si>
  <si>
    <t>Sneaky Raid</t>
  </si>
  <si>
    <t>Target the furthest enemy.</t>
  </si>
  <si>
    <t>Razor Bite</t>
  </si>
  <si>
    <t>Why So Serious</t>
  </si>
  <si>
    <t>Heal this Axie by damage inflicted with this card to Aquatic targets.</t>
  </si>
  <si>
    <t>Incisor</t>
  </si>
  <si>
    <t>Disarm</t>
  </si>
  <si>
    <t>Apply Speed to attacker for 2 rounds.</t>
  </si>
  <si>
    <t>Cerastes</t>
  </si>
  <si>
    <t>Surprise Invasion</t>
  </si>
  <si>
    <t>Deal 130% damage if target is faster than this Axie.</t>
  </si>
  <si>
    <t>Scaly Spear</t>
  </si>
  <si>
    <t>Scaly Lunge</t>
  </si>
  <si>
    <t>Deal 120% damage when chained with another “lunge” card.</t>
  </si>
  <si>
    <t>Scaly Spoon</t>
  </si>
  <si>
    <t>Tiny Catapult</t>
  </si>
  <si>
    <t>Reflect 50% of ranged damage back at the attacker.</t>
  </si>
  <si>
    <t>Unko</t>
  </si>
  <si>
    <t>Poo Fling</t>
  </si>
  <si>
    <t>Apply Stench to target until end of round.</t>
  </si>
  <si>
    <t>Bumpy</t>
  </si>
  <si>
    <t>Overgrow Keratin</t>
  </si>
  <si>
    <t>Recover 20 shield per turn.</t>
  </si>
  <si>
    <t>Tri Spikes</t>
  </si>
  <si>
    <t>Spike Throw</t>
  </si>
  <si>
    <t>Target enemy with lowest shield when comboed with 2 or more cards.</t>
  </si>
  <si>
    <t>Green Thorns</t>
  </si>
  <si>
    <t>Vine Dagger</t>
  </si>
  <si>
    <t>Double shield from this card when comboed with a plant card.</t>
  </si>
  <si>
    <t>Red Ear</t>
  </si>
  <si>
    <t>Slippery Shield</t>
  </si>
  <si>
    <t>Add 15% of this Axie’s shield to adjacent teammates.</t>
  </si>
  <si>
    <t>Bone Sail</t>
  </si>
  <si>
    <t>Ivory Chop</t>
  </si>
  <si>
    <t>Draw a card if this Axie’s shield breaks.</t>
  </si>
  <si>
    <t>Croc</t>
  </si>
  <si>
    <t>Nile Strike</t>
  </si>
  <si>
    <t>Apply Speed- to target for 2 rounds.</t>
  </si>
  <si>
    <t>Indian Star</t>
  </si>
  <si>
    <t>Bulkwark</t>
  </si>
  <si>
    <t>Reflect 40% of melee damage back at attacker.</t>
  </si>
  <si>
    <t>Wall Gecko</t>
  </si>
  <si>
    <t>Critical Escape</t>
  </si>
  <si>
    <t>Reduce damage taken by 15% this round.</t>
  </si>
  <si>
    <t>Gila</t>
  </si>
  <si>
    <t>Neuro Toxin</t>
  </si>
  <si>
    <t>Apply Attack- to poisoned targets.</t>
  </si>
  <si>
    <t>Iguana</t>
  </si>
  <si>
    <t>Scale Dart</t>
  </si>
  <si>
    <t>Generate 1 energy when attacking a buffed target.</t>
  </si>
  <si>
    <t>Tiny Dino</t>
  </si>
  <si>
    <t>Tiny Swing</t>
  </si>
  <si>
    <t>Deal 150% damage after round 4.</t>
  </si>
  <si>
    <t>Grass Snake</t>
  </si>
  <si>
    <t>Venom Spray</t>
  </si>
  <si>
    <t>Apply 2 Poison to target.</t>
  </si>
  <si>
    <t>Snake Jar</t>
  </si>
  <si>
    <t>Jar Barrage</t>
  </si>
  <si>
    <t>Attacks that break this Axie’s shield cannot do additional damage. Can only trigger once per round.</t>
  </si>
  <si>
    <t>Energy</t>
  </si>
  <si>
    <t>Attack</t>
  </si>
  <si>
    <t>Defence</t>
  </si>
  <si>
    <t>Blossom</t>
  </si>
  <si>
    <t>Bubblemaker</t>
  </si>
  <si>
    <t>Tricky</t>
  </si>
  <si>
    <t>Curved Spine</t>
  </si>
  <si>
    <t>Chubby</t>
  </si>
  <si>
    <t>Zeal</t>
  </si>
  <si>
    <t>Belieber</t>
  </si>
  <si>
    <t>Parts</t>
  </si>
  <si>
    <t>Class Base:</t>
  </si>
  <si>
    <t>Total</t>
  </si>
  <si>
    <t>Base Stats</t>
  </si>
  <si>
    <t>Pure Breed Stats</t>
  </si>
  <si>
    <t>Axie No.</t>
  </si>
  <si>
    <t>Clear</t>
  </si>
  <si>
    <t>Confused</t>
  </si>
  <si>
    <t>Clover</t>
  </si>
  <si>
    <t>7/8/2021 7:30pm</t>
  </si>
  <si>
    <t>Part-by-Class Bonus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</si>
</sst>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E33"/>
        <bgColor indexed="64"/>
      </patternFill>
    </fill>
    <fill>
      <patternFill patternType="solid">
        <fgColor rgb="FF30D7F0"/>
        <bgColor indexed="64"/>
      </patternFill>
    </fill>
    <fill>
      <patternFill patternType="solid">
        <fgColor rgb="FFFFB3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1" tint="0.499984740745262"/>
        <bgColor indexed="64"/>
      </patternFill>
    </fill>
  </fills>
  <borders count="22">
    <border>
      <left/>
      <right/>
      <top/>
      <bottom/>
      <diagonal/>
    </border>
    <border>
      <left style="medium">
        <color rgb="FF30D7F0"/>
      </left>
      <right style="medium">
        <color rgb="FF30D7F0"/>
      </right>
      <top style="medium">
        <color rgb="FF30D7F0"/>
      </top>
      <bottom style="medium">
        <color rgb="FF30D7F0"/>
      </bottom>
      <diagonal/>
    </border>
    <border>
      <left style="medium">
        <color rgb="FFFFB3FF"/>
      </left>
      <right style="medium">
        <color rgb="FFFFB3FF"/>
      </right>
      <top style="medium">
        <color rgb="FFFFB3FF"/>
      </top>
      <bottom style="medium">
        <color rgb="FFFFB3FF"/>
      </bottom>
      <diagonal/>
    </border>
    <border>
      <left style="medium">
        <color rgb="FF30D7F0"/>
      </left>
      <right style="medium">
        <color rgb="FF30D7F0"/>
      </right>
      <top style="medium">
        <color rgb="FF30D7F0"/>
      </top>
      <bottom/>
      <diagonal/>
    </border>
    <border>
      <left style="medium">
        <color rgb="FFFFCE33"/>
      </left>
      <right style="medium">
        <color rgb="FFFFCE33"/>
      </right>
      <top style="medium">
        <color rgb="FFFFCE33"/>
      </top>
      <bottom style="medium">
        <color rgb="FFFFCE33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medium">
        <color rgb="FFFFCE33"/>
      </left>
      <right style="medium">
        <color rgb="FFFFCE33"/>
      </right>
      <top style="medium">
        <color rgb="FFFFCE33"/>
      </top>
      <bottom/>
      <diagonal/>
    </border>
    <border>
      <left style="medium">
        <color rgb="FF33CC33"/>
      </left>
      <right style="medium">
        <color rgb="FF33CC33"/>
      </right>
      <top style="medium">
        <color rgb="FF33CC33"/>
      </top>
      <bottom style="medium">
        <color rgb="FF33CC33"/>
      </bottom>
      <diagonal/>
    </border>
    <border>
      <left style="medium">
        <color rgb="FFCC99FF"/>
      </left>
      <right style="medium">
        <color rgb="FFCC99FF"/>
      </right>
      <top style="medium">
        <color rgb="FFCC99FF"/>
      </top>
      <bottom style="medium">
        <color rgb="FFCC99FF"/>
      </bottom>
      <diagonal/>
    </border>
    <border>
      <left style="medium">
        <color rgb="FF33CC33"/>
      </left>
      <right style="medium">
        <color rgb="FF33CC33"/>
      </right>
      <top style="medium">
        <color rgb="FF33CC3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9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Alignment="1">
      <alignment wrapText="1"/>
    </xf>
    <xf numFmtId="14" fontId="0" fillId="0" borderId="0" xfId="0" applyNumberFormat="1"/>
    <xf numFmtId="164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3" fillId="5" borderId="0" xfId="0" applyFont="1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9" fontId="0" fillId="0" borderId="0" xfId="1" applyFont="1"/>
    <xf numFmtId="0" fontId="0" fillId="0" borderId="0" xfId="0" applyNumberFormat="1"/>
    <xf numFmtId="0" fontId="3" fillId="0" borderId="0" xfId="0" applyFont="1" applyFill="1"/>
    <xf numFmtId="0" fontId="4" fillId="0" borderId="1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0" fontId="4" fillId="0" borderId="4" xfId="0" applyFont="1" applyFill="1" applyBorder="1" applyAlignment="1">
      <alignment horizontal="center"/>
    </xf>
    <xf numFmtId="0" fontId="4" fillId="0" borderId="6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4" fillId="0" borderId="7" xfId="0" applyFont="1" applyFill="1" applyBorder="1" applyAlignment="1">
      <alignment horizontal="center"/>
    </xf>
    <xf numFmtId="0" fontId="4" fillId="0" borderId="9" xfId="0" applyFont="1" applyFill="1" applyBorder="1" applyAlignment="1">
      <alignment horizontal="center"/>
    </xf>
    <xf numFmtId="0" fontId="4" fillId="0" borderId="8" xfId="0" applyFont="1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0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10" xfId="0" applyBorder="1"/>
    <xf numFmtId="0" fontId="1" fillId="0" borderId="10" xfId="0" applyFont="1" applyBorder="1"/>
    <xf numFmtId="0" fontId="1" fillId="0" borderId="19" xfId="0" applyFont="1" applyBorder="1"/>
    <xf numFmtId="0" fontId="1" fillId="0" borderId="20" xfId="0" applyFont="1" applyBorder="1"/>
    <xf numFmtId="0" fontId="1" fillId="0" borderId="21" xfId="0" applyFont="1" applyBorder="1"/>
    <xf numFmtId="0" fontId="5" fillId="11" borderId="10" xfId="0" applyFont="1" applyFill="1" applyBorder="1"/>
    <xf numFmtId="0" fontId="5" fillId="11" borderId="11" xfId="0" applyFont="1" applyFill="1" applyBorder="1" applyAlignment="1">
      <alignment horizontal="center"/>
    </xf>
    <xf numFmtId="0" fontId="5" fillId="11" borderId="12" xfId="0" applyFont="1" applyFill="1" applyBorder="1" applyAlignment="1">
      <alignment horizontal="center"/>
    </xf>
    <xf numFmtId="0" fontId="5" fillId="11" borderId="13" xfId="0" applyFont="1" applyFill="1" applyBorder="1" applyAlignment="1">
      <alignment horizontal="center"/>
    </xf>
    <xf numFmtId="0" fontId="0" fillId="7" borderId="0" xfId="0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CC99FF"/>
      <color rgb="FF008080"/>
      <color rgb="FF33CC33"/>
      <color rgb="FFFF6600"/>
      <color rgb="FFFFCE33"/>
      <color rgb="FFFFB3FF"/>
      <color rgb="FF30D7F0"/>
      <color rgb="FF99CCFF"/>
      <color rgb="FFFFA3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581025</xdr:colOff>
      <xdr:row>2</xdr:row>
      <xdr:rowOff>28576</xdr:rowOff>
    </xdr:from>
    <xdr:to>
      <xdr:col>0</xdr:col>
      <xdr:colOff>806236</xdr:colOff>
      <xdr:row>2</xdr:row>
      <xdr:rowOff>209550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24AC26C-51AD-459F-874A-DAB1D044AB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1025" y="219076"/>
          <a:ext cx="225211" cy="180974"/>
        </a:xfrm>
        <a:prstGeom prst="rect">
          <a:avLst/>
        </a:prstGeom>
      </xdr:spPr>
    </xdr:pic>
    <xdr:clientData/>
  </xdr:twoCellAnchor>
  <xdr:twoCellAnchor editAs="oneCell">
    <xdr:from>
      <xdr:col>0</xdr:col>
      <xdr:colOff>590551</xdr:colOff>
      <xdr:row>5</xdr:row>
      <xdr:rowOff>28576</xdr:rowOff>
    </xdr:from>
    <xdr:to>
      <xdr:col>0</xdr:col>
      <xdr:colOff>784579</xdr:colOff>
      <xdr:row>5</xdr:row>
      <xdr:rowOff>219076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0D9A8F6-C035-46D5-9663-054664D3C1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0551" y="447676"/>
          <a:ext cx="194028" cy="190500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581026</xdr:colOff>
      <xdr:row>3</xdr:row>
      <xdr:rowOff>28575</xdr:rowOff>
    </xdr:from>
    <xdr:to>
      <xdr:col>0</xdr:col>
      <xdr:colOff>773050</xdr:colOff>
      <xdr:row>4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2991693-933B-46B5-A70D-E04A04FF7A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1026" y="676275"/>
          <a:ext cx="192024" cy="200025"/>
        </a:xfrm>
        <a:prstGeom prst="rect">
          <a:avLst/>
        </a:prstGeom>
      </xdr:spPr>
    </xdr:pic>
    <xdr:clientData/>
  </xdr:twoCellAnchor>
  <xdr:twoCellAnchor editAs="oneCell">
    <xdr:from>
      <xdr:col>0</xdr:col>
      <xdr:colOff>600076</xdr:colOff>
      <xdr:row>4</xdr:row>
      <xdr:rowOff>28576</xdr:rowOff>
    </xdr:from>
    <xdr:to>
      <xdr:col>0</xdr:col>
      <xdr:colOff>778670</xdr:colOff>
      <xdr:row>4</xdr:row>
      <xdr:rowOff>219076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815CF64-683C-42E7-8C78-93AF095DD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0076" y="676276"/>
          <a:ext cx="178594" cy="190500"/>
        </a:xfrm>
        <a:prstGeom prst="rect">
          <a:avLst/>
        </a:prstGeom>
      </xdr:spPr>
    </xdr:pic>
    <xdr:clientData/>
  </xdr:twoCellAnchor>
  <xdr:twoCellAnchor editAs="oneCell">
    <xdr:from>
      <xdr:col>0</xdr:col>
      <xdr:colOff>552451</xdr:colOff>
      <xdr:row>6</xdr:row>
      <xdr:rowOff>38100</xdr:rowOff>
    </xdr:from>
    <xdr:to>
      <xdr:col>0</xdr:col>
      <xdr:colOff>819151</xdr:colOff>
      <xdr:row>7</xdr:row>
      <xdr:rowOff>3464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E3FE715-3F7E-4C4C-A5AB-4AAF84217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52451" y="1143000"/>
          <a:ext cx="266700" cy="193964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7</xdr:row>
      <xdr:rowOff>19051</xdr:rowOff>
    </xdr:from>
    <xdr:to>
      <xdr:col>0</xdr:col>
      <xdr:colOff>785919</xdr:colOff>
      <xdr:row>8</xdr:row>
      <xdr:rowOff>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7A2FF0E5-AD0A-4461-B4A7-06013CFF9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81025" y="1352551"/>
          <a:ext cx="204894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561975</xdr:colOff>
      <xdr:row>8</xdr:row>
      <xdr:rowOff>28576</xdr:rowOff>
    </xdr:from>
    <xdr:to>
      <xdr:col>0</xdr:col>
      <xdr:colOff>832685</xdr:colOff>
      <xdr:row>8</xdr:row>
      <xdr:rowOff>219076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4B14378-5C1D-4954-86C0-66C8442B6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61975" y="1590676"/>
          <a:ext cx="270710" cy="190500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581026</xdr:colOff>
      <xdr:row>9</xdr:row>
      <xdr:rowOff>19051</xdr:rowOff>
    </xdr:from>
    <xdr:to>
      <xdr:col>0</xdr:col>
      <xdr:colOff>829561</xdr:colOff>
      <xdr:row>10</xdr:row>
      <xdr:rowOff>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3A88BC2-BAB1-4EC2-9E40-319361684E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81026" y="1809751"/>
          <a:ext cx="248535" cy="209549"/>
        </a:xfrm>
        <a:prstGeom prst="rect">
          <a:avLst/>
        </a:prstGeom>
      </xdr:spPr>
    </xdr:pic>
    <xdr:clientData/>
  </xdr:twoCellAnchor>
  <xdr:twoCellAnchor editAs="oneCell">
    <xdr:from>
      <xdr:col>0</xdr:col>
      <xdr:colOff>619125</xdr:colOff>
      <xdr:row>10</xdr:row>
      <xdr:rowOff>19051</xdr:rowOff>
    </xdr:from>
    <xdr:to>
      <xdr:col>0</xdr:col>
      <xdr:colOff>807292</xdr:colOff>
      <xdr:row>11</xdr:row>
      <xdr:rowOff>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2002A55-F1D4-4368-A432-8879933F69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19125" y="2038351"/>
          <a:ext cx="188167" cy="209549"/>
        </a:xfrm>
        <a:prstGeom prst="rect">
          <a:avLst/>
        </a:prstGeom>
      </xdr:spPr>
    </xdr:pic>
    <xdr:clientData/>
  </xdr:twoCellAnchor>
  <xdr:oneCellAnchor>
    <xdr:from>
      <xdr:col>12</xdr:col>
      <xdr:colOff>581025</xdr:colOff>
      <xdr:row>2</xdr:row>
      <xdr:rowOff>28576</xdr:rowOff>
    </xdr:from>
    <xdr:ext cx="225211" cy="180974"/>
    <xdr:pic>
      <xdr:nvPicPr>
        <xdr:cNvPr id="11" name="Picture 10">
          <a:extLst>
            <a:ext uri="{FF2B5EF4-FFF2-40B4-BE49-F238E27FC236}">
              <a16:creationId xmlns:a16="http://schemas.microsoft.com/office/drawing/2014/main" id="{A561727D-A961-4D42-B715-DA72501DC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1025" y="257176"/>
          <a:ext cx="225211" cy="180974"/>
        </a:xfrm>
        <a:prstGeom prst="rect">
          <a:avLst/>
        </a:prstGeom>
      </xdr:spPr>
    </xdr:pic>
    <xdr:clientData/>
  </xdr:oneCellAnchor>
  <xdr:oneCellAnchor>
    <xdr:from>
      <xdr:col>12</xdr:col>
      <xdr:colOff>590551</xdr:colOff>
      <xdr:row>5</xdr:row>
      <xdr:rowOff>28576</xdr:rowOff>
    </xdr:from>
    <xdr:ext cx="194028" cy="190500"/>
    <xdr:pic>
      <xdr:nvPicPr>
        <xdr:cNvPr id="12" name="Picture 11">
          <a:extLst>
            <a:ext uri="{FF2B5EF4-FFF2-40B4-BE49-F238E27FC236}">
              <a16:creationId xmlns:a16="http://schemas.microsoft.com/office/drawing/2014/main" id="{9EBBE904-97F0-476B-BE92-480157893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0551" y="942976"/>
          <a:ext cx="194028" cy="190500"/>
        </a:xfrm>
        <a:prstGeom prst="rect">
          <a:avLst/>
        </a:prstGeom>
      </xdr:spPr>
    </xdr:pic>
    <xdr:clientData/>
  </xdr:oneCellAnchor>
  <xdr:oneCellAnchor>
    <xdr:from>
      <xdr:col>12</xdr:col>
      <xdr:colOff>581026</xdr:colOff>
      <xdr:row>3</xdr:row>
      <xdr:rowOff>28575</xdr:rowOff>
    </xdr:from>
    <xdr:ext cx="192024" cy="200025"/>
    <xdr:pic>
      <xdr:nvPicPr>
        <xdr:cNvPr id="13" name="Picture 12">
          <a:extLst>
            <a:ext uri="{FF2B5EF4-FFF2-40B4-BE49-F238E27FC236}">
              <a16:creationId xmlns:a16="http://schemas.microsoft.com/office/drawing/2014/main" id="{940EA05A-1B8F-435F-8B88-104E190E8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1026" y="485775"/>
          <a:ext cx="192024" cy="200025"/>
        </a:xfrm>
        <a:prstGeom prst="rect">
          <a:avLst/>
        </a:prstGeom>
      </xdr:spPr>
    </xdr:pic>
    <xdr:clientData/>
  </xdr:oneCellAnchor>
  <xdr:oneCellAnchor>
    <xdr:from>
      <xdr:col>12</xdr:col>
      <xdr:colOff>600076</xdr:colOff>
      <xdr:row>4</xdr:row>
      <xdr:rowOff>28576</xdr:rowOff>
    </xdr:from>
    <xdr:ext cx="178594" cy="190500"/>
    <xdr:pic>
      <xdr:nvPicPr>
        <xdr:cNvPr id="14" name="Picture 13">
          <a:extLst>
            <a:ext uri="{FF2B5EF4-FFF2-40B4-BE49-F238E27FC236}">
              <a16:creationId xmlns:a16="http://schemas.microsoft.com/office/drawing/2014/main" id="{01EA6F14-170B-4A24-8225-E43E94C34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0076" y="714376"/>
          <a:ext cx="178594" cy="190500"/>
        </a:xfrm>
        <a:prstGeom prst="rect">
          <a:avLst/>
        </a:prstGeom>
      </xdr:spPr>
    </xdr:pic>
    <xdr:clientData/>
  </xdr:oneCellAnchor>
  <xdr:oneCellAnchor>
    <xdr:from>
      <xdr:col>12</xdr:col>
      <xdr:colOff>552451</xdr:colOff>
      <xdr:row>6</xdr:row>
      <xdr:rowOff>38100</xdr:rowOff>
    </xdr:from>
    <xdr:ext cx="266700" cy="193964"/>
    <xdr:pic>
      <xdr:nvPicPr>
        <xdr:cNvPr id="15" name="Picture 14">
          <a:extLst>
            <a:ext uri="{FF2B5EF4-FFF2-40B4-BE49-F238E27FC236}">
              <a16:creationId xmlns:a16="http://schemas.microsoft.com/office/drawing/2014/main" id="{9FE737EC-0AF5-4144-A4CF-67953C57FE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52451" y="1181100"/>
          <a:ext cx="266700" cy="193964"/>
        </a:xfrm>
        <a:prstGeom prst="rect">
          <a:avLst/>
        </a:prstGeom>
      </xdr:spPr>
    </xdr:pic>
    <xdr:clientData/>
  </xdr:oneCellAnchor>
  <xdr:oneCellAnchor>
    <xdr:from>
      <xdr:col>12</xdr:col>
      <xdr:colOff>581025</xdr:colOff>
      <xdr:row>7</xdr:row>
      <xdr:rowOff>19051</xdr:rowOff>
    </xdr:from>
    <xdr:ext cx="204894" cy="209550"/>
    <xdr:pic>
      <xdr:nvPicPr>
        <xdr:cNvPr id="16" name="Picture 15">
          <a:extLst>
            <a:ext uri="{FF2B5EF4-FFF2-40B4-BE49-F238E27FC236}">
              <a16:creationId xmlns:a16="http://schemas.microsoft.com/office/drawing/2014/main" id="{3D064D6F-F281-4789-956C-9099C46EF6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81025" y="1390651"/>
          <a:ext cx="204894" cy="209550"/>
        </a:xfrm>
        <a:prstGeom prst="rect">
          <a:avLst/>
        </a:prstGeom>
      </xdr:spPr>
    </xdr:pic>
    <xdr:clientData/>
  </xdr:oneCellAnchor>
  <xdr:oneCellAnchor>
    <xdr:from>
      <xdr:col>12</xdr:col>
      <xdr:colOff>561975</xdr:colOff>
      <xdr:row>8</xdr:row>
      <xdr:rowOff>28576</xdr:rowOff>
    </xdr:from>
    <xdr:ext cx="270710" cy="190500"/>
    <xdr:pic>
      <xdr:nvPicPr>
        <xdr:cNvPr id="17" name="Picture 16">
          <a:extLst>
            <a:ext uri="{FF2B5EF4-FFF2-40B4-BE49-F238E27FC236}">
              <a16:creationId xmlns:a16="http://schemas.microsoft.com/office/drawing/2014/main" id="{5DEAD241-483E-48C5-B3A0-AF3229E56D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61975" y="1628776"/>
          <a:ext cx="270710" cy="190500"/>
        </a:xfrm>
        <a:prstGeom prst="rect">
          <a:avLst/>
        </a:prstGeom>
      </xdr:spPr>
    </xdr:pic>
    <xdr:clientData/>
  </xdr:oneCellAnchor>
  <xdr:oneCellAnchor>
    <xdr:from>
      <xdr:col>12</xdr:col>
      <xdr:colOff>581026</xdr:colOff>
      <xdr:row>9</xdr:row>
      <xdr:rowOff>19051</xdr:rowOff>
    </xdr:from>
    <xdr:ext cx="248535" cy="209549"/>
    <xdr:pic>
      <xdr:nvPicPr>
        <xdr:cNvPr id="18" name="Picture 17">
          <a:extLst>
            <a:ext uri="{FF2B5EF4-FFF2-40B4-BE49-F238E27FC236}">
              <a16:creationId xmlns:a16="http://schemas.microsoft.com/office/drawing/2014/main" id="{97435743-F789-42A9-A49C-951AF7189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81026" y="1847851"/>
          <a:ext cx="248535" cy="209549"/>
        </a:xfrm>
        <a:prstGeom prst="rect">
          <a:avLst/>
        </a:prstGeom>
      </xdr:spPr>
    </xdr:pic>
    <xdr:clientData/>
  </xdr:oneCellAnchor>
  <xdr:oneCellAnchor>
    <xdr:from>
      <xdr:col>12</xdr:col>
      <xdr:colOff>619125</xdr:colOff>
      <xdr:row>10</xdr:row>
      <xdr:rowOff>19051</xdr:rowOff>
    </xdr:from>
    <xdr:ext cx="188167" cy="209549"/>
    <xdr:pic>
      <xdr:nvPicPr>
        <xdr:cNvPr id="19" name="Picture 18">
          <a:extLst>
            <a:ext uri="{FF2B5EF4-FFF2-40B4-BE49-F238E27FC236}">
              <a16:creationId xmlns:a16="http://schemas.microsoft.com/office/drawing/2014/main" id="{5D73C2DB-342A-446F-BB99-38237C4BD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19125" y="2076451"/>
          <a:ext cx="188167" cy="209549"/>
        </a:xfrm>
        <a:prstGeom prst="rect">
          <a:avLst/>
        </a:prstGeom>
      </xdr:spPr>
    </xdr:pic>
    <xdr:clientData/>
  </xdr:oneCellAnchor>
  <xdr:oneCellAnchor>
    <xdr:from>
      <xdr:col>6</xdr:col>
      <xdr:colOff>581025</xdr:colOff>
      <xdr:row>2</xdr:row>
      <xdr:rowOff>28576</xdr:rowOff>
    </xdr:from>
    <xdr:ext cx="225211" cy="180974"/>
    <xdr:pic>
      <xdr:nvPicPr>
        <xdr:cNvPr id="20" name="Picture 19">
          <a:extLst>
            <a:ext uri="{FF2B5EF4-FFF2-40B4-BE49-F238E27FC236}">
              <a16:creationId xmlns:a16="http://schemas.microsoft.com/office/drawing/2014/main" id="{4E6B8723-DA26-4902-8D56-237817779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1025" y="485776"/>
          <a:ext cx="225211" cy="180974"/>
        </a:xfrm>
        <a:prstGeom prst="rect">
          <a:avLst/>
        </a:prstGeom>
      </xdr:spPr>
    </xdr:pic>
    <xdr:clientData/>
  </xdr:oneCellAnchor>
  <xdr:oneCellAnchor>
    <xdr:from>
      <xdr:col>6</xdr:col>
      <xdr:colOff>590551</xdr:colOff>
      <xdr:row>5</xdr:row>
      <xdr:rowOff>28576</xdr:rowOff>
    </xdr:from>
    <xdr:ext cx="194028" cy="190500"/>
    <xdr:pic>
      <xdr:nvPicPr>
        <xdr:cNvPr id="21" name="Picture 20">
          <a:extLst>
            <a:ext uri="{FF2B5EF4-FFF2-40B4-BE49-F238E27FC236}">
              <a16:creationId xmlns:a16="http://schemas.microsoft.com/office/drawing/2014/main" id="{59B3E1B1-6CAA-4B6A-8C8E-D3647409E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0551" y="1171576"/>
          <a:ext cx="194028" cy="190500"/>
        </a:xfrm>
        <a:prstGeom prst="rect">
          <a:avLst/>
        </a:prstGeom>
      </xdr:spPr>
    </xdr:pic>
    <xdr:clientData/>
  </xdr:oneCellAnchor>
  <xdr:oneCellAnchor>
    <xdr:from>
      <xdr:col>6</xdr:col>
      <xdr:colOff>581026</xdr:colOff>
      <xdr:row>3</xdr:row>
      <xdr:rowOff>28575</xdr:rowOff>
    </xdr:from>
    <xdr:ext cx="192024" cy="200025"/>
    <xdr:pic>
      <xdr:nvPicPr>
        <xdr:cNvPr id="22" name="Picture 21">
          <a:extLst>
            <a:ext uri="{FF2B5EF4-FFF2-40B4-BE49-F238E27FC236}">
              <a16:creationId xmlns:a16="http://schemas.microsoft.com/office/drawing/2014/main" id="{45002248-D9A3-4F85-9888-243CD21F4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1026" y="714375"/>
          <a:ext cx="192024" cy="200025"/>
        </a:xfrm>
        <a:prstGeom prst="rect">
          <a:avLst/>
        </a:prstGeom>
      </xdr:spPr>
    </xdr:pic>
    <xdr:clientData/>
  </xdr:oneCellAnchor>
  <xdr:oneCellAnchor>
    <xdr:from>
      <xdr:col>6</xdr:col>
      <xdr:colOff>600076</xdr:colOff>
      <xdr:row>4</xdr:row>
      <xdr:rowOff>28576</xdr:rowOff>
    </xdr:from>
    <xdr:ext cx="178594" cy="190500"/>
    <xdr:pic>
      <xdr:nvPicPr>
        <xdr:cNvPr id="23" name="Picture 22">
          <a:extLst>
            <a:ext uri="{FF2B5EF4-FFF2-40B4-BE49-F238E27FC236}">
              <a16:creationId xmlns:a16="http://schemas.microsoft.com/office/drawing/2014/main" id="{CAF90754-A927-489D-84BC-EA5E08EC9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0076" y="942976"/>
          <a:ext cx="178594" cy="190500"/>
        </a:xfrm>
        <a:prstGeom prst="rect">
          <a:avLst/>
        </a:prstGeom>
      </xdr:spPr>
    </xdr:pic>
    <xdr:clientData/>
  </xdr:oneCellAnchor>
  <xdr:oneCellAnchor>
    <xdr:from>
      <xdr:col>6</xdr:col>
      <xdr:colOff>552451</xdr:colOff>
      <xdr:row>6</xdr:row>
      <xdr:rowOff>38100</xdr:rowOff>
    </xdr:from>
    <xdr:ext cx="266700" cy="193964"/>
    <xdr:pic>
      <xdr:nvPicPr>
        <xdr:cNvPr id="24" name="Picture 23">
          <a:extLst>
            <a:ext uri="{FF2B5EF4-FFF2-40B4-BE49-F238E27FC236}">
              <a16:creationId xmlns:a16="http://schemas.microsoft.com/office/drawing/2014/main" id="{53C7DB8D-6182-4FDA-8512-15C3A89A9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52451" y="1409700"/>
          <a:ext cx="266700" cy="193964"/>
        </a:xfrm>
        <a:prstGeom prst="rect">
          <a:avLst/>
        </a:prstGeom>
      </xdr:spPr>
    </xdr:pic>
    <xdr:clientData/>
  </xdr:oneCellAnchor>
  <xdr:oneCellAnchor>
    <xdr:from>
      <xdr:col>6</xdr:col>
      <xdr:colOff>581025</xdr:colOff>
      <xdr:row>7</xdr:row>
      <xdr:rowOff>19051</xdr:rowOff>
    </xdr:from>
    <xdr:ext cx="204894" cy="209550"/>
    <xdr:pic>
      <xdr:nvPicPr>
        <xdr:cNvPr id="25" name="Picture 24">
          <a:extLst>
            <a:ext uri="{FF2B5EF4-FFF2-40B4-BE49-F238E27FC236}">
              <a16:creationId xmlns:a16="http://schemas.microsoft.com/office/drawing/2014/main" id="{90F206BD-E031-4CFB-B75A-24374DBC6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81025" y="1619251"/>
          <a:ext cx="204894" cy="209550"/>
        </a:xfrm>
        <a:prstGeom prst="rect">
          <a:avLst/>
        </a:prstGeom>
      </xdr:spPr>
    </xdr:pic>
    <xdr:clientData/>
  </xdr:oneCellAnchor>
  <xdr:oneCellAnchor>
    <xdr:from>
      <xdr:col>6</xdr:col>
      <xdr:colOff>561975</xdr:colOff>
      <xdr:row>8</xdr:row>
      <xdr:rowOff>28576</xdr:rowOff>
    </xdr:from>
    <xdr:ext cx="270710" cy="190500"/>
    <xdr:pic>
      <xdr:nvPicPr>
        <xdr:cNvPr id="26" name="Picture 25">
          <a:extLst>
            <a:ext uri="{FF2B5EF4-FFF2-40B4-BE49-F238E27FC236}">
              <a16:creationId xmlns:a16="http://schemas.microsoft.com/office/drawing/2014/main" id="{1784A527-583B-47BB-BE5F-83EC1681CA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61975" y="1857376"/>
          <a:ext cx="270710" cy="190500"/>
        </a:xfrm>
        <a:prstGeom prst="rect">
          <a:avLst/>
        </a:prstGeom>
      </xdr:spPr>
    </xdr:pic>
    <xdr:clientData/>
  </xdr:oneCellAnchor>
  <xdr:oneCellAnchor>
    <xdr:from>
      <xdr:col>6</xdr:col>
      <xdr:colOff>581026</xdr:colOff>
      <xdr:row>9</xdr:row>
      <xdr:rowOff>19051</xdr:rowOff>
    </xdr:from>
    <xdr:ext cx="248535" cy="209549"/>
    <xdr:pic>
      <xdr:nvPicPr>
        <xdr:cNvPr id="27" name="Picture 26">
          <a:extLst>
            <a:ext uri="{FF2B5EF4-FFF2-40B4-BE49-F238E27FC236}">
              <a16:creationId xmlns:a16="http://schemas.microsoft.com/office/drawing/2014/main" id="{8B966662-7562-4D1D-A28B-EE2631A4C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81026" y="2076451"/>
          <a:ext cx="248535" cy="209549"/>
        </a:xfrm>
        <a:prstGeom prst="rect">
          <a:avLst/>
        </a:prstGeom>
      </xdr:spPr>
    </xdr:pic>
    <xdr:clientData/>
  </xdr:oneCellAnchor>
  <xdr:oneCellAnchor>
    <xdr:from>
      <xdr:col>6</xdr:col>
      <xdr:colOff>619125</xdr:colOff>
      <xdr:row>10</xdr:row>
      <xdr:rowOff>19051</xdr:rowOff>
    </xdr:from>
    <xdr:ext cx="188167" cy="209549"/>
    <xdr:pic>
      <xdr:nvPicPr>
        <xdr:cNvPr id="28" name="Picture 27">
          <a:extLst>
            <a:ext uri="{FF2B5EF4-FFF2-40B4-BE49-F238E27FC236}">
              <a16:creationId xmlns:a16="http://schemas.microsoft.com/office/drawing/2014/main" id="{5841B569-DBF9-4E49-8698-2AAB20518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19125" y="2305051"/>
          <a:ext cx="188167" cy="209549"/>
        </a:xfrm>
        <a:prstGeom prst="rect">
          <a:avLst/>
        </a:prstGeom>
      </xdr:spPr>
    </xdr:pic>
    <xdr:clientData/>
  </xdr:oneCellAnchor>
  <xdr:oneCellAnchor>
    <xdr:from>
      <xdr:col>19</xdr:col>
      <xdr:colOff>581025</xdr:colOff>
      <xdr:row>2</xdr:row>
      <xdr:rowOff>28576</xdr:rowOff>
    </xdr:from>
    <xdr:ext cx="225211" cy="180974"/>
    <xdr:pic>
      <xdr:nvPicPr>
        <xdr:cNvPr id="29" name="Picture 28">
          <a:extLst>
            <a:ext uri="{FF2B5EF4-FFF2-40B4-BE49-F238E27FC236}">
              <a16:creationId xmlns:a16="http://schemas.microsoft.com/office/drawing/2014/main" id="{10E4D56C-0624-4FDB-A7E2-464D2EFF41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0" y="485776"/>
          <a:ext cx="225211" cy="180974"/>
        </a:xfrm>
        <a:prstGeom prst="rect">
          <a:avLst/>
        </a:prstGeom>
      </xdr:spPr>
    </xdr:pic>
    <xdr:clientData/>
  </xdr:oneCellAnchor>
  <xdr:oneCellAnchor>
    <xdr:from>
      <xdr:col>19</xdr:col>
      <xdr:colOff>590551</xdr:colOff>
      <xdr:row>5</xdr:row>
      <xdr:rowOff>28576</xdr:rowOff>
    </xdr:from>
    <xdr:ext cx="194028" cy="190500"/>
    <xdr:pic>
      <xdr:nvPicPr>
        <xdr:cNvPr id="30" name="Picture 29">
          <a:extLst>
            <a:ext uri="{FF2B5EF4-FFF2-40B4-BE49-F238E27FC236}">
              <a16:creationId xmlns:a16="http://schemas.microsoft.com/office/drawing/2014/main" id="{56EA28CE-C941-4A1D-9E6B-90D0532F1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57526" y="1171576"/>
          <a:ext cx="194028" cy="190500"/>
        </a:xfrm>
        <a:prstGeom prst="rect">
          <a:avLst/>
        </a:prstGeom>
      </xdr:spPr>
    </xdr:pic>
    <xdr:clientData/>
  </xdr:oneCellAnchor>
  <xdr:oneCellAnchor>
    <xdr:from>
      <xdr:col>19</xdr:col>
      <xdr:colOff>581026</xdr:colOff>
      <xdr:row>3</xdr:row>
      <xdr:rowOff>28575</xdr:rowOff>
    </xdr:from>
    <xdr:ext cx="192024" cy="200025"/>
    <xdr:pic>
      <xdr:nvPicPr>
        <xdr:cNvPr id="31" name="Picture 30">
          <a:extLst>
            <a:ext uri="{FF2B5EF4-FFF2-40B4-BE49-F238E27FC236}">
              <a16:creationId xmlns:a16="http://schemas.microsoft.com/office/drawing/2014/main" id="{39ED4C7D-3199-4F3C-91BE-C00851E6C6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48001" y="714375"/>
          <a:ext cx="192024" cy="200025"/>
        </a:xfrm>
        <a:prstGeom prst="rect">
          <a:avLst/>
        </a:prstGeom>
      </xdr:spPr>
    </xdr:pic>
    <xdr:clientData/>
  </xdr:oneCellAnchor>
  <xdr:oneCellAnchor>
    <xdr:from>
      <xdr:col>19</xdr:col>
      <xdr:colOff>600076</xdr:colOff>
      <xdr:row>4</xdr:row>
      <xdr:rowOff>28576</xdr:rowOff>
    </xdr:from>
    <xdr:ext cx="178594" cy="190500"/>
    <xdr:pic>
      <xdr:nvPicPr>
        <xdr:cNvPr id="32" name="Picture 31">
          <a:extLst>
            <a:ext uri="{FF2B5EF4-FFF2-40B4-BE49-F238E27FC236}">
              <a16:creationId xmlns:a16="http://schemas.microsoft.com/office/drawing/2014/main" id="{9D3E857B-4962-47CF-A3C1-639EA1A24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67051" y="942976"/>
          <a:ext cx="178594" cy="190500"/>
        </a:xfrm>
        <a:prstGeom prst="rect">
          <a:avLst/>
        </a:prstGeom>
      </xdr:spPr>
    </xdr:pic>
    <xdr:clientData/>
  </xdr:oneCellAnchor>
  <xdr:oneCellAnchor>
    <xdr:from>
      <xdr:col>19</xdr:col>
      <xdr:colOff>552451</xdr:colOff>
      <xdr:row>6</xdr:row>
      <xdr:rowOff>38100</xdr:rowOff>
    </xdr:from>
    <xdr:ext cx="266700" cy="193964"/>
    <xdr:pic>
      <xdr:nvPicPr>
        <xdr:cNvPr id="33" name="Picture 32">
          <a:extLst>
            <a:ext uri="{FF2B5EF4-FFF2-40B4-BE49-F238E27FC236}">
              <a16:creationId xmlns:a16="http://schemas.microsoft.com/office/drawing/2014/main" id="{B42CC85F-738A-4BC5-9912-F97F3CD2B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019426" y="1409700"/>
          <a:ext cx="266700" cy="193964"/>
        </a:xfrm>
        <a:prstGeom prst="rect">
          <a:avLst/>
        </a:prstGeom>
      </xdr:spPr>
    </xdr:pic>
    <xdr:clientData/>
  </xdr:oneCellAnchor>
  <xdr:oneCellAnchor>
    <xdr:from>
      <xdr:col>19</xdr:col>
      <xdr:colOff>581025</xdr:colOff>
      <xdr:row>7</xdr:row>
      <xdr:rowOff>19051</xdr:rowOff>
    </xdr:from>
    <xdr:ext cx="204894" cy="209550"/>
    <xdr:pic>
      <xdr:nvPicPr>
        <xdr:cNvPr id="34" name="Picture 33">
          <a:extLst>
            <a:ext uri="{FF2B5EF4-FFF2-40B4-BE49-F238E27FC236}">
              <a16:creationId xmlns:a16="http://schemas.microsoft.com/office/drawing/2014/main" id="{355EC01E-6079-4C91-AAC9-DB8383B87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048000" y="1619251"/>
          <a:ext cx="204894" cy="209550"/>
        </a:xfrm>
        <a:prstGeom prst="rect">
          <a:avLst/>
        </a:prstGeom>
      </xdr:spPr>
    </xdr:pic>
    <xdr:clientData/>
  </xdr:oneCellAnchor>
  <xdr:oneCellAnchor>
    <xdr:from>
      <xdr:col>19</xdr:col>
      <xdr:colOff>561975</xdr:colOff>
      <xdr:row>8</xdr:row>
      <xdr:rowOff>28576</xdr:rowOff>
    </xdr:from>
    <xdr:ext cx="270710" cy="190500"/>
    <xdr:pic>
      <xdr:nvPicPr>
        <xdr:cNvPr id="35" name="Picture 34">
          <a:extLst>
            <a:ext uri="{FF2B5EF4-FFF2-40B4-BE49-F238E27FC236}">
              <a16:creationId xmlns:a16="http://schemas.microsoft.com/office/drawing/2014/main" id="{2CE20330-0C54-4FEE-A88B-3A1653B63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28950" y="1857376"/>
          <a:ext cx="270710" cy="190500"/>
        </a:xfrm>
        <a:prstGeom prst="rect">
          <a:avLst/>
        </a:prstGeom>
      </xdr:spPr>
    </xdr:pic>
    <xdr:clientData/>
  </xdr:oneCellAnchor>
  <xdr:oneCellAnchor>
    <xdr:from>
      <xdr:col>19</xdr:col>
      <xdr:colOff>581026</xdr:colOff>
      <xdr:row>9</xdr:row>
      <xdr:rowOff>19051</xdr:rowOff>
    </xdr:from>
    <xdr:ext cx="248535" cy="209549"/>
    <xdr:pic>
      <xdr:nvPicPr>
        <xdr:cNvPr id="36" name="Picture 35">
          <a:extLst>
            <a:ext uri="{FF2B5EF4-FFF2-40B4-BE49-F238E27FC236}">
              <a16:creationId xmlns:a16="http://schemas.microsoft.com/office/drawing/2014/main" id="{8A80E3E5-F8E9-4C1A-A23D-404E4563A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048001" y="2076451"/>
          <a:ext cx="248535" cy="209549"/>
        </a:xfrm>
        <a:prstGeom prst="rect">
          <a:avLst/>
        </a:prstGeom>
      </xdr:spPr>
    </xdr:pic>
    <xdr:clientData/>
  </xdr:oneCellAnchor>
  <xdr:oneCellAnchor>
    <xdr:from>
      <xdr:col>19</xdr:col>
      <xdr:colOff>619125</xdr:colOff>
      <xdr:row>10</xdr:row>
      <xdr:rowOff>19051</xdr:rowOff>
    </xdr:from>
    <xdr:ext cx="188167" cy="209549"/>
    <xdr:pic>
      <xdr:nvPicPr>
        <xdr:cNvPr id="37" name="Picture 36">
          <a:extLst>
            <a:ext uri="{FF2B5EF4-FFF2-40B4-BE49-F238E27FC236}">
              <a16:creationId xmlns:a16="http://schemas.microsoft.com/office/drawing/2014/main" id="{82296A0A-638B-4D98-941F-43AD1B735D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86100" y="2305051"/>
          <a:ext cx="188167" cy="209549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E4A78-646E-42EA-9A84-A556551C477A}">
  <sheetPr codeName="Sheet3"/>
  <dimension ref="A1:I133"/>
  <sheetViews>
    <sheetView workbookViewId="0">
      <pane ySplit="1" topLeftCell="A2" activePane="bottomLeft" state="frozen"/>
      <selection pane="bottomLeft" activeCell="D8" sqref="D8"/>
    </sheetView>
  </sheetViews>
  <sheetFormatPr defaultRowHeight="15" x14ac:dyDescent="0.25"/>
  <cols>
    <col min="2" max="2" width="11.42578125" customWidth="1"/>
    <col min="3" max="3" width="6.28515625" customWidth="1"/>
    <col min="4" max="4" width="19.7109375" customWidth="1"/>
    <col min="5" max="5" width="18.42578125" customWidth="1"/>
    <col min="6" max="8" width="8.42578125" customWidth="1"/>
    <col min="9" max="9" width="78.7109375" customWidth="1"/>
  </cols>
  <sheetData>
    <row r="1" spans="1:9" ht="18" customHeight="1" x14ac:dyDescent="0.25">
      <c r="A1" s="1" t="s">
        <v>0</v>
      </c>
      <c r="B1" s="1" t="s">
        <v>28</v>
      </c>
      <c r="C1" s="1" t="s">
        <v>46</v>
      </c>
      <c r="D1" s="1" t="s">
        <v>29</v>
      </c>
      <c r="E1" s="1" t="s">
        <v>30</v>
      </c>
      <c r="F1" s="1" t="s">
        <v>424</v>
      </c>
      <c r="G1" s="1" t="s">
        <v>425</v>
      </c>
      <c r="H1" s="1" t="s">
        <v>426</v>
      </c>
      <c r="I1" s="1" t="s">
        <v>31</v>
      </c>
    </row>
    <row r="2" spans="1:9" ht="18" customHeight="1" x14ac:dyDescent="0.25">
      <c r="A2" t="s">
        <v>4</v>
      </c>
      <c r="B2" t="s">
        <v>26</v>
      </c>
      <c r="C2" t="s">
        <v>47</v>
      </c>
      <c r="D2" t="s">
        <v>68</v>
      </c>
      <c r="E2" t="s">
        <v>69</v>
      </c>
      <c r="F2" s="16">
        <v>1</v>
      </c>
      <c r="G2">
        <v>110</v>
      </c>
      <c r="H2" s="16">
        <v>20</v>
      </c>
      <c r="I2" t="s">
        <v>70</v>
      </c>
    </row>
    <row r="3" spans="1:9" ht="18" customHeight="1" x14ac:dyDescent="0.25">
      <c r="A3" t="s">
        <v>4</v>
      </c>
      <c r="B3" t="s">
        <v>26</v>
      </c>
      <c r="C3" t="s">
        <v>42</v>
      </c>
      <c r="D3" t="s">
        <v>71</v>
      </c>
      <c r="E3" t="s">
        <v>72</v>
      </c>
      <c r="F3" s="16">
        <v>1</v>
      </c>
      <c r="G3">
        <v>100</v>
      </c>
      <c r="H3" s="16">
        <v>20</v>
      </c>
      <c r="I3" t="s">
        <v>73</v>
      </c>
    </row>
    <row r="4" spans="1:9" ht="18" customHeight="1" x14ac:dyDescent="0.25">
      <c r="A4" t="s">
        <v>4</v>
      </c>
      <c r="B4" t="s">
        <v>26</v>
      </c>
      <c r="C4" t="s">
        <v>42</v>
      </c>
      <c r="D4" t="s">
        <v>78</v>
      </c>
      <c r="E4" t="s">
        <v>79</v>
      </c>
      <c r="F4" s="16">
        <v>1</v>
      </c>
      <c r="G4">
        <v>60</v>
      </c>
      <c r="H4" s="16">
        <v>90</v>
      </c>
      <c r="I4" t="s">
        <v>80</v>
      </c>
    </row>
    <row r="5" spans="1:9" ht="18" customHeight="1" x14ac:dyDescent="0.25">
      <c r="A5" t="s">
        <v>4</v>
      </c>
      <c r="B5" t="s">
        <v>26</v>
      </c>
      <c r="C5" t="s">
        <v>42</v>
      </c>
      <c r="D5" t="s">
        <v>74</v>
      </c>
      <c r="E5" t="s">
        <v>75</v>
      </c>
      <c r="F5" s="16">
        <v>1</v>
      </c>
      <c r="G5">
        <v>0</v>
      </c>
      <c r="H5" s="16">
        <v>15</v>
      </c>
      <c r="I5" t="s">
        <v>76</v>
      </c>
    </row>
    <row r="6" spans="1:9" ht="18" customHeight="1" x14ac:dyDescent="0.25">
      <c r="A6" t="s">
        <v>4</v>
      </c>
      <c r="B6" t="s">
        <v>26</v>
      </c>
      <c r="C6" t="s">
        <v>60</v>
      </c>
      <c r="D6" t="s">
        <v>81</v>
      </c>
      <c r="E6" t="s">
        <v>82</v>
      </c>
      <c r="F6" s="16">
        <v>1</v>
      </c>
      <c r="G6">
        <v>120</v>
      </c>
      <c r="H6" s="16">
        <v>30</v>
      </c>
      <c r="I6" t="s">
        <v>83</v>
      </c>
    </row>
    <row r="7" spans="1:9" ht="18" customHeight="1" x14ac:dyDescent="0.25">
      <c r="A7" t="s">
        <v>4</v>
      </c>
      <c r="B7" t="s">
        <v>26</v>
      </c>
      <c r="C7" t="s">
        <v>42</v>
      </c>
      <c r="D7" t="s">
        <v>57</v>
      </c>
      <c r="E7" t="s">
        <v>77</v>
      </c>
      <c r="F7" s="16">
        <v>1</v>
      </c>
      <c r="G7">
        <v>80</v>
      </c>
      <c r="H7" s="16">
        <v>40</v>
      </c>
      <c r="I7" t="s">
        <v>59</v>
      </c>
    </row>
    <row r="8" spans="1:9" ht="18" customHeight="1" x14ac:dyDescent="0.25">
      <c r="A8" t="s">
        <v>4</v>
      </c>
      <c r="B8" t="s">
        <v>67</v>
      </c>
      <c r="C8" t="s">
        <v>35</v>
      </c>
      <c r="D8" t="s">
        <v>48</v>
      </c>
      <c r="E8" t="s">
        <v>49</v>
      </c>
      <c r="F8" s="16">
        <v>1</v>
      </c>
      <c r="G8">
        <v>115</v>
      </c>
      <c r="H8" s="16">
        <v>10</v>
      </c>
      <c r="I8" t="s">
        <v>50</v>
      </c>
    </row>
    <row r="9" spans="1:9" ht="18" customHeight="1" x14ac:dyDescent="0.25">
      <c r="A9" t="s">
        <v>4</v>
      </c>
      <c r="B9" t="s">
        <v>67</v>
      </c>
      <c r="C9" t="s">
        <v>60</v>
      </c>
      <c r="D9" t="s">
        <v>64</v>
      </c>
      <c r="E9" t="s">
        <v>65</v>
      </c>
      <c r="F9" s="16">
        <v>1</v>
      </c>
      <c r="G9">
        <v>100</v>
      </c>
      <c r="H9" s="16">
        <v>50</v>
      </c>
      <c r="I9" t="s">
        <v>66</v>
      </c>
    </row>
    <row r="10" spans="1:9" ht="18" customHeight="1" x14ac:dyDescent="0.25">
      <c r="A10" t="s">
        <v>4</v>
      </c>
      <c r="B10" t="s">
        <v>67</v>
      </c>
      <c r="C10" t="s">
        <v>42</v>
      </c>
      <c r="D10" t="s">
        <v>51</v>
      </c>
      <c r="E10" t="s">
        <v>52</v>
      </c>
      <c r="F10" s="16">
        <v>1</v>
      </c>
      <c r="G10">
        <v>120</v>
      </c>
      <c r="H10" s="16">
        <v>30</v>
      </c>
      <c r="I10" t="s">
        <v>53</v>
      </c>
    </row>
    <row r="11" spans="1:9" ht="18" customHeight="1" x14ac:dyDescent="0.25">
      <c r="A11" t="s">
        <v>4</v>
      </c>
      <c r="B11" t="s">
        <v>67</v>
      </c>
      <c r="C11" t="s">
        <v>60</v>
      </c>
      <c r="D11" t="s">
        <v>61</v>
      </c>
      <c r="E11" t="s">
        <v>62</v>
      </c>
      <c r="F11" s="16">
        <v>1</v>
      </c>
      <c r="G11">
        <v>50</v>
      </c>
      <c r="H11" s="16">
        <v>80</v>
      </c>
      <c r="I11" t="s">
        <v>63</v>
      </c>
    </row>
    <row r="12" spans="1:9" ht="18" customHeight="1" x14ac:dyDescent="0.25">
      <c r="A12" t="s">
        <v>4</v>
      </c>
      <c r="B12" t="s">
        <v>67</v>
      </c>
      <c r="C12" t="s">
        <v>42</v>
      </c>
      <c r="D12" t="s">
        <v>54</v>
      </c>
      <c r="E12" t="s">
        <v>55</v>
      </c>
      <c r="F12" s="16">
        <v>1</v>
      </c>
      <c r="G12">
        <v>110</v>
      </c>
      <c r="H12" s="16">
        <v>40</v>
      </c>
      <c r="I12" t="s">
        <v>56</v>
      </c>
    </row>
    <row r="13" spans="1:9" ht="18" customHeight="1" x14ac:dyDescent="0.25">
      <c r="A13" t="s">
        <v>4</v>
      </c>
      <c r="B13" t="s">
        <v>67</v>
      </c>
      <c r="C13" t="s">
        <v>42</v>
      </c>
      <c r="D13" t="s">
        <v>57</v>
      </c>
      <c r="E13" t="s">
        <v>58</v>
      </c>
      <c r="F13" s="16">
        <v>1</v>
      </c>
      <c r="G13">
        <v>80</v>
      </c>
      <c r="H13" s="16">
        <v>40</v>
      </c>
      <c r="I13" t="s">
        <v>59</v>
      </c>
    </row>
    <row r="14" spans="1:9" ht="18" customHeight="1" x14ac:dyDescent="0.25">
      <c r="A14" t="s">
        <v>4</v>
      </c>
      <c r="B14" t="s">
        <v>25</v>
      </c>
      <c r="C14" t="s">
        <v>42</v>
      </c>
      <c r="D14" t="s">
        <v>43</v>
      </c>
      <c r="E14" t="s">
        <v>44</v>
      </c>
      <c r="F14" s="16">
        <v>1</v>
      </c>
      <c r="G14">
        <v>80</v>
      </c>
      <c r="H14" s="16">
        <v>30</v>
      </c>
      <c r="I14" t="s">
        <v>45</v>
      </c>
    </row>
    <row r="15" spans="1:9" ht="18" customHeight="1" x14ac:dyDescent="0.25">
      <c r="A15" t="s">
        <v>4</v>
      </c>
      <c r="B15" t="s">
        <v>25</v>
      </c>
      <c r="C15" t="s">
        <v>35</v>
      </c>
      <c r="D15" t="s">
        <v>36</v>
      </c>
      <c r="E15" t="s">
        <v>37</v>
      </c>
      <c r="F15" s="16">
        <v>1</v>
      </c>
      <c r="G15">
        <v>110</v>
      </c>
      <c r="H15" s="16">
        <v>30</v>
      </c>
      <c r="I15" t="s">
        <v>38</v>
      </c>
    </row>
    <row r="16" spans="1:9" ht="18" customHeight="1" x14ac:dyDescent="0.25">
      <c r="A16" t="s">
        <v>4</v>
      </c>
      <c r="B16" t="s">
        <v>25</v>
      </c>
      <c r="C16" t="s">
        <v>35</v>
      </c>
      <c r="D16" t="s">
        <v>39</v>
      </c>
      <c r="E16" t="s">
        <v>40</v>
      </c>
      <c r="F16" s="16">
        <v>1</v>
      </c>
      <c r="G16">
        <v>120</v>
      </c>
      <c r="H16" s="16">
        <v>30</v>
      </c>
      <c r="I16" t="s">
        <v>41</v>
      </c>
    </row>
    <row r="17" spans="1:9" ht="18" customHeight="1" x14ac:dyDescent="0.25">
      <c r="A17" t="s">
        <v>4</v>
      </c>
      <c r="B17" t="s">
        <v>25</v>
      </c>
      <c r="C17" t="s">
        <v>47</v>
      </c>
      <c r="D17" t="s">
        <v>32</v>
      </c>
      <c r="E17" t="s">
        <v>33</v>
      </c>
      <c r="F17" s="16">
        <v>1</v>
      </c>
      <c r="G17">
        <v>110</v>
      </c>
      <c r="H17" s="16">
        <v>40</v>
      </c>
      <c r="I17" t="s">
        <v>34</v>
      </c>
    </row>
    <row r="18" spans="1:9" ht="18" customHeight="1" x14ac:dyDescent="0.25">
      <c r="A18" t="s">
        <v>4</v>
      </c>
      <c r="B18" t="s">
        <v>27</v>
      </c>
      <c r="C18" t="s">
        <v>96</v>
      </c>
      <c r="D18" t="s">
        <v>97</v>
      </c>
      <c r="E18" t="s">
        <v>98</v>
      </c>
      <c r="F18" s="16">
        <v>1</v>
      </c>
      <c r="G18">
        <v>120</v>
      </c>
      <c r="H18" s="16">
        <v>30</v>
      </c>
      <c r="I18" t="s">
        <v>99</v>
      </c>
    </row>
    <row r="19" spans="1:9" ht="18" customHeight="1" x14ac:dyDescent="0.25">
      <c r="A19" t="s">
        <v>4</v>
      </c>
      <c r="B19" t="s">
        <v>27</v>
      </c>
      <c r="C19" t="s">
        <v>42</v>
      </c>
      <c r="D19" t="s">
        <v>90</v>
      </c>
      <c r="E19" t="s">
        <v>91</v>
      </c>
      <c r="F19" s="16">
        <v>1</v>
      </c>
      <c r="G19">
        <v>110</v>
      </c>
      <c r="H19" s="16">
        <v>30</v>
      </c>
      <c r="I19" t="s">
        <v>92</v>
      </c>
    </row>
    <row r="20" spans="1:9" ht="18" customHeight="1" x14ac:dyDescent="0.25">
      <c r="A20" t="s">
        <v>4</v>
      </c>
      <c r="B20" t="s">
        <v>27</v>
      </c>
      <c r="C20" t="s">
        <v>35</v>
      </c>
      <c r="D20" t="s">
        <v>84</v>
      </c>
      <c r="E20" t="s">
        <v>85</v>
      </c>
      <c r="F20" s="16">
        <v>0</v>
      </c>
      <c r="G20">
        <v>30</v>
      </c>
      <c r="H20" s="16">
        <v>0</v>
      </c>
      <c r="I20" t="s">
        <v>86</v>
      </c>
    </row>
    <row r="21" spans="1:9" ht="18" customHeight="1" x14ac:dyDescent="0.25">
      <c r="A21" t="s">
        <v>4</v>
      </c>
      <c r="B21" t="s">
        <v>27</v>
      </c>
      <c r="C21" t="s">
        <v>42</v>
      </c>
      <c r="D21" t="s">
        <v>87</v>
      </c>
      <c r="E21" t="s">
        <v>88</v>
      </c>
      <c r="F21" s="16">
        <v>1</v>
      </c>
      <c r="G21">
        <v>100</v>
      </c>
      <c r="H21" s="16">
        <v>40</v>
      </c>
      <c r="I21" t="s">
        <v>89</v>
      </c>
    </row>
    <row r="22" spans="1:9" ht="18" customHeight="1" x14ac:dyDescent="0.25">
      <c r="A22" t="s">
        <v>4</v>
      </c>
      <c r="B22" t="s">
        <v>27</v>
      </c>
      <c r="C22" t="s">
        <v>60</v>
      </c>
      <c r="D22" t="s">
        <v>93</v>
      </c>
      <c r="E22" t="s">
        <v>94</v>
      </c>
      <c r="F22" s="16">
        <v>1</v>
      </c>
      <c r="G22">
        <v>30</v>
      </c>
      <c r="H22" s="16">
        <v>30</v>
      </c>
      <c r="I22" t="s">
        <v>95</v>
      </c>
    </row>
    <row r="23" spans="1:9" ht="18" customHeight="1" x14ac:dyDescent="0.25">
      <c r="A23" t="s">
        <v>4</v>
      </c>
      <c r="B23" t="s">
        <v>27</v>
      </c>
      <c r="C23" t="s">
        <v>96</v>
      </c>
      <c r="D23" t="s">
        <v>100</v>
      </c>
      <c r="E23" t="s">
        <v>101</v>
      </c>
      <c r="F23" s="16">
        <v>1</v>
      </c>
      <c r="G23">
        <v>110</v>
      </c>
      <c r="H23" s="16">
        <v>40</v>
      </c>
      <c r="I23" t="s">
        <v>102</v>
      </c>
    </row>
    <row r="24" spans="1:9" ht="18" customHeight="1" x14ac:dyDescent="0.25">
      <c r="A24" t="s">
        <v>21</v>
      </c>
      <c r="B24" t="s">
        <v>26</v>
      </c>
      <c r="C24" t="s">
        <v>96</v>
      </c>
      <c r="D24" t="s">
        <v>142</v>
      </c>
      <c r="E24" t="s">
        <v>143</v>
      </c>
      <c r="F24" s="16">
        <v>1</v>
      </c>
      <c r="G24">
        <v>50</v>
      </c>
      <c r="H24">
        <v>100</v>
      </c>
      <c r="I24" t="s">
        <v>144</v>
      </c>
    </row>
    <row r="25" spans="1:9" ht="18" customHeight="1" x14ac:dyDescent="0.25">
      <c r="A25" t="s">
        <v>21</v>
      </c>
      <c r="B25" t="s">
        <v>26</v>
      </c>
      <c r="C25" t="s">
        <v>35</v>
      </c>
      <c r="D25" t="s">
        <v>133</v>
      </c>
      <c r="E25" t="s">
        <v>134</v>
      </c>
      <c r="F25" s="16">
        <v>1</v>
      </c>
      <c r="G25">
        <v>75</v>
      </c>
      <c r="H25" s="16">
        <v>0</v>
      </c>
      <c r="I25" t="s">
        <v>135</v>
      </c>
    </row>
    <row r="26" spans="1:9" ht="18" customHeight="1" x14ac:dyDescent="0.25">
      <c r="A26" t="s">
        <v>21</v>
      </c>
      <c r="B26" t="s">
        <v>26</v>
      </c>
      <c r="C26" t="s">
        <v>42</v>
      </c>
      <c r="D26" t="s">
        <v>139</v>
      </c>
      <c r="E26" t="s">
        <v>140</v>
      </c>
      <c r="F26" s="16">
        <v>1</v>
      </c>
      <c r="G26">
        <v>125</v>
      </c>
      <c r="H26" s="16">
        <v>25</v>
      </c>
      <c r="I26" t="s">
        <v>141</v>
      </c>
    </row>
    <row r="27" spans="1:9" ht="18" customHeight="1" x14ac:dyDescent="0.25">
      <c r="A27" t="s">
        <v>21</v>
      </c>
      <c r="B27" t="s">
        <v>26</v>
      </c>
      <c r="C27" t="s">
        <v>42</v>
      </c>
      <c r="D27" t="s">
        <v>136</v>
      </c>
      <c r="E27" t="s">
        <v>137</v>
      </c>
      <c r="F27" s="16">
        <v>1</v>
      </c>
      <c r="G27">
        <v>115</v>
      </c>
      <c r="H27" s="16">
        <v>35</v>
      </c>
      <c r="I27" t="s">
        <v>138</v>
      </c>
    </row>
    <row r="28" spans="1:9" ht="18" customHeight="1" x14ac:dyDescent="0.25">
      <c r="A28" t="s">
        <v>21</v>
      </c>
      <c r="B28" t="s">
        <v>26</v>
      </c>
      <c r="C28" t="s">
        <v>96</v>
      </c>
      <c r="D28" t="s">
        <v>145</v>
      </c>
      <c r="E28" t="s">
        <v>146</v>
      </c>
      <c r="F28" s="16">
        <v>1</v>
      </c>
      <c r="G28">
        <v>40</v>
      </c>
      <c r="H28" s="16">
        <v>30</v>
      </c>
      <c r="I28" t="s">
        <v>147</v>
      </c>
    </row>
    <row r="29" spans="1:9" ht="18" customHeight="1" x14ac:dyDescent="0.25">
      <c r="A29" t="s">
        <v>21</v>
      </c>
      <c r="B29" t="s">
        <v>26</v>
      </c>
      <c r="C29" t="s">
        <v>148</v>
      </c>
      <c r="D29" t="s">
        <v>149</v>
      </c>
      <c r="E29" t="s">
        <v>150</v>
      </c>
      <c r="F29" s="16">
        <v>0</v>
      </c>
      <c r="G29">
        <v>60</v>
      </c>
      <c r="H29" s="16">
        <v>0</v>
      </c>
      <c r="I29" t="s">
        <v>151</v>
      </c>
    </row>
    <row r="30" spans="1:9" ht="18" customHeight="1" x14ac:dyDescent="0.25">
      <c r="A30" t="s">
        <v>21</v>
      </c>
      <c r="B30" t="s">
        <v>67</v>
      </c>
      <c r="C30" t="s">
        <v>96</v>
      </c>
      <c r="D30" t="s">
        <v>127</v>
      </c>
      <c r="E30" t="s">
        <v>128</v>
      </c>
      <c r="F30" s="16">
        <v>1</v>
      </c>
      <c r="G30">
        <v>125</v>
      </c>
      <c r="H30" s="16">
        <v>20</v>
      </c>
      <c r="I30" t="s">
        <v>129</v>
      </c>
    </row>
    <row r="31" spans="1:9" ht="18" customHeight="1" x14ac:dyDescent="0.25">
      <c r="A31" t="s">
        <v>21</v>
      </c>
      <c r="B31" t="s">
        <v>67</v>
      </c>
      <c r="C31" t="s">
        <v>42</v>
      </c>
      <c r="D31" t="s">
        <v>118</v>
      </c>
      <c r="E31" t="s">
        <v>119</v>
      </c>
      <c r="F31" s="16">
        <v>1</v>
      </c>
      <c r="G31">
        <v>130</v>
      </c>
      <c r="H31" s="16">
        <v>20</v>
      </c>
      <c r="I31" t="s">
        <v>120</v>
      </c>
    </row>
    <row r="32" spans="1:9" ht="18" customHeight="1" x14ac:dyDescent="0.25">
      <c r="A32" t="s">
        <v>21</v>
      </c>
      <c r="B32" t="s">
        <v>67</v>
      </c>
      <c r="C32" t="s">
        <v>96</v>
      </c>
      <c r="D32" t="s">
        <v>130</v>
      </c>
      <c r="E32" t="s">
        <v>131</v>
      </c>
      <c r="F32" s="16">
        <v>1</v>
      </c>
      <c r="G32">
        <v>65</v>
      </c>
      <c r="H32" s="16">
        <v>85</v>
      </c>
      <c r="I32" t="s">
        <v>132</v>
      </c>
    </row>
    <row r="33" spans="1:9" ht="18" customHeight="1" x14ac:dyDescent="0.25">
      <c r="A33" t="s">
        <v>21</v>
      </c>
      <c r="B33" t="s">
        <v>67</v>
      </c>
      <c r="C33" t="s">
        <v>35</v>
      </c>
      <c r="D33" t="s">
        <v>115</v>
      </c>
      <c r="E33" t="s">
        <v>116</v>
      </c>
      <c r="F33" s="16">
        <v>1</v>
      </c>
      <c r="G33">
        <v>70</v>
      </c>
      <c r="H33" s="16">
        <v>20</v>
      </c>
      <c r="I33" t="s">
        <v>117</v>
      </c>
    </row>
    <row r="34" spans="1:9" ht="18" customHeight="1" x14ac:dyDescent="0.25">
      <c r="A34" t="s">
        <v>21</v>
      </c>
      <c r="B34" t="s">
        <v>67</v>
      </c>
      <c r="C34" t="s">
        <v>42</v>
      </c>
      <c r="D34" t="s">
        <v>121</v>
      </c>
      <c r="E34" t="s">
        <v>122</v>
      </c>
      <c r="F34" s="16">
        <v>1</v>
      </c>
      <c r="G34">
        <v>125</v>
      </c>
      <c r="H34" s="16">
        <v>25</v>
      </c>
      <c r="I34" t="s">
        <v>123</v>
      </c>
    </row>
    <row r="35" spans="1:9" ht="18" customHeight="1" x14ac:dyDescent="0.25">
      <c r="A35" t="s">
        <v>21</v>
      </c>
      <c r="B35" t="s">
        <v>67</v>
      </c>
      <c r="C35" t="s">
        <v>60</v>
      </c>
      <c r="D35" t="s">
        <v>124</v>
      </c>
      <c r="E35" t="s">
        <v>125</v>
      </c>
      <c r="F35" s="16">
        <v>1</v>
      </c>
      <c r="G35">
        <v>100</v>
      </c>
      <c r="H35" s="16">
        <v>5</v>
      </c>
      <c r="I35" t="s">
        <v>126</v>
      </c>
    </row>
    <row r="36" spans="1:9" ht="18" customHeight="1" x14ac:dyDescent="0.25">
      <c r="A36" t="s">
        <v>21</v>
      </c>
      <c r="B36" t="s">
        <v>25</v>
      </c>
      <c r="C36" t="s">
        <v>60</v>
      </c>
      <c r="D36" t="s">
        <v>109</v>
      </c>
      <c r="E36" t="s">
        <v>110</v>
      </c>
      <c r="F36" s="16">
        <v>0</v>
      </c>
      <c r="G36">
        <v>0</v>
      </c>
      <c r="H36" s="16">
        <v>30</v>
      </c>
      <c r="I36" t="s">
        <v>111</v>
      </c>
    </row>
    <row r="37" spans="1:9" ht="18" customHeight="1" x14ac:dyDescent="0.25">
      <c r="A37" t="s">
        <v>21</v>
      </c>
      <c r="B37" t="s">
        <v>25</v>
      </c>
      <c r="C37" t="s">
        <v>35</v>
      </c>
      <c r="D37" t="s">
        <v>106</v>
      </c>
      <c r="E37" t="s">
        <v>107</v>
      </c>
      <c r="F37" s="16">
        <v>1</v>
      </c>
      <c r="G37">
        <v>80</v>
      </c>
      <c r="H37" s="16">
        <v>40</v>
      </c>
      <c r="I37" t="s">
        <v>108</v>
      </c>
    </row>
    <row r="38" spans="1:9" ht="18" customHeight="1" x14ac:dyDescent="0.25">
      <c r="A38" t="s">
        <v>21</v>
      </c>
      <c r="B38" t="s">
        <v>25</v>
      </c>
      <c r="C38" t="s">
        <v>47</v>
      </c>
      <c r="D38" t="s">
        <v>103</v>
      </c>
      <c r="E38" t="s">
        <v>104</v>
      </c>
      <c r="F38" s="16">
        <v>1</v>
      </c>
      <c r="G38">
        <v>105</v>
      </c>
      <c r="H38" s="16">
        <v>30</v>
      </c>
      <c r="I38" t="s">
        <v>105</v>
      </c>
    </row>
    <row r="39" spans="1:9" ht="18" customHeight="1" x14ac:dyDescent="0.25">
      <c r="A39" t="s">
        <v>21</v>
      </c>
      <c r="B39" t="s">
        <v>25</v>
      </c>
      <c r="C39" t="s">
        <v>96</v>
      </c>
      <c r="D39" t="s">
        <v>112</v>
      </c>
      <c r="E39" t="s">
        <v>113</v>
      </c>
      <c r="F39" s="16">
        <v>1</v>
      </c>
      <c r="G39">
        <v>100</v>
      </c>
      <c r="H39" s="16">
        <v>30</v>
      </c>
      <c r="I39" t="s">
        <v>114</v>
      </c>
    </row>
    <row r="40" spans="1:9" ht="18" customHeight="1" x14ac:dyDescent="0.25">
      <c r="A40" t="s">
        <v>21</v>
      </c>
      <c r="B40" t="s">
        <v>27</v>
      </c>
      <c r="C40" t="s">
        <v>96</v>
      </c>
      <c r="D40" t="s">
        <v>165</v>
      </c>
      <c r="E40" t="s">
        <v>166</v>
      </c>
      <c r="F40" s="16">
        <v>1</v>
      </c>
      <c r="G40">
        <v>120</v>
      </c>
      <c r="H40" s="16">
        <v>30</v>
      </c>
      <c r="I40" t="s">
        <v>167</v>
      </c>
    </row>
    <row r="41" spans="1:9" ht="18" customHeight="1" x14ac:dyDescent="0.25">
      <c r="A41" t="s">
        <v>21</v>
      </c>
      <c r="B41" t="s">
        <v>27</v>
      </c>
      <c r="C41" t="s">
        <v>35</v>
      </c>
      <c r="D41" t="s">
        <v>103</v>
      </c>
      <c r="E41" t="s">
        <v>152</v>
      </c>
      <c r="F41" s="16">
        <v>1</v>
      </c>
      <c r="G41">
        <v>105</v>
      </c>
      <c r="H41" s="16">
        <v>30</v>
      </c>
      <c r="I41" t="s">
        <v>105</v>
      </c>
    </row>
    <row r="42" spans="1:9" ht="18" customHeight="1" x14ac:dyDescent="0.25">
      <c r="A42" t="s">
        <v>21</v>
      </c>
      <c r="B42" t="s">
        <v>27</v>
      </c>
      <c r="C42" t="s">
        <v>42</v>
      </c>
      <c r="D42" t="s">
        <v>159</v>
      </c>
      <c r="E42" t="s">
        <v>160</v>
      </c>
      <c r="F42" s="16">
        <v>1</v>
      </c>
      <c r="G42">
        <v>80</v>
      </c>
      <c r="H42" s="16">
        <v>10</v>
      </c>
      <c r="I42" t="s">
        <v>161</v>
      </c>
    </row>
    <row r="43" spans="1:9" ht="18" customHeight="1" x14ac:dyDescent="0.25">
      <c r="A43" t="s">
        <v>21</v>
      </c>
      <c r="B43" t="s">
        <v>27</v>
      </c>
      <c r="C43" t="s">
        <v>42</v>
      </c>
      <c r="D43" t="s">
        <v>153</v>
      </c>
      <c r="E43" t="s">
        <v>154</v>
      </c>
      <c r="F43" s="16">
        <v>0</v>
      </c>
      <c r="G43">
        <v>0</v>
      </c>
      <c r="H43" s="16">
        <v>0</v>
      </c>
      <c r="I43" t="s">
        <v>155</v>
      </c>
    </row>
    <row r="44" spans="1:9" ht="18" customHeight="1" x14ac:dyDescent="0.25">
      <c r="A44" t="s">
        <v>21</v>
      </c>
      <c r="B44" t="s">
        <v>27</v>
      </c>
      <c r="C44" t="s">
        <v>42</v>
      </c>
      <c r="D44" t="s">
        <v>156</v>
      </c>
      <c r="E44" t="s">
        <v>157</v>
      </c>
      <c r="F44" s="16">
        <v>1</v>
      </c>
      <c r="G44">
        <v>120</v>
      </c>
      <c r="H44" s="16">
        <v>30</v>
      </c>
      <c r="I44" t="s">
        <v>158</v>
      </c>
    </row>
    <row r="45" spans="1:9" ht="18" customHeight="1" x14ac:dyDescent="0.25">
      <c r="A45" t="s">
        <v>21</v>
      </c>
      <c r="B45" t="s">
        <v>27</v>
      </c>
      <c r="C45" t="s">
        <v>96</v>
      </c>
      <c r="D45" t="s">
        <v>162</v>
      </c>
      <c r="E45" t="s">
        <v>163</v>
      </c>
      <c r="F45" s="16">
        <v>1</v>
      </c>
      <c r="G45">
        <v>40</v>
      </c>
      <c r="H45" s="16">
        <v>20</v>
      </c>
      <c r="I45" t="s">
        <v>164</v>
      </c>
    </row>
    <row r="46" spans="1:9" ht="18" customHeight="1" x14ac:dyDescent="0.25">
      <c r="A46" t="s">
        <v>22</v>
      </c>
      <c r="B46" t="s">
        <v>26</v>
      </c>
      <c r="C46" t="s">
        <v>96</v>
      </c>
      <c r="D46" t="s">
        <v>208</v>
      </c>
      <c r="E46" t="s">
        <v>209</v>
      </c>
      <c r="F46" s="16">
        <v>0</v>
      </c>
      <c r="G46">
        <v>35</v>
      </c>
      <c r="H46" s="16">
        <v>10</v>
      </c>
      <c r="I46" t="s">
        <v>210</v>
      </c>
    </row>
    <row r="47" spans="1:9" ht="18" customHeight="1" x14ac:dyDescent="0.25">
      <c r="A47" t="s">
        <v>22</v>
      </c>
      <c r="B47" t="s">
        <v>26</v>
      </c>
      <c r="C47" t="s">
        <v>148</v>
      </c>
      <c r="D47" t="s">
        <v>211</v>
      </c>
      <c r="E47" t="s">
        <v>212</v>
      </c>
      <c r="F47" s="16">
        <v>1</v>
      </c>
      <c r="G47">
        <v>130</v>
      </c>
      <c r="H47" s="16">
        <v>0</v>
      </c>
      <c r="I47" t="s">
        <v>213</v>
      </c>
    </row>
    <row r="48" spans="1:9" ht="18" customHeight="1" x14ac:dyDescent="0.25">
      <c r="A48" t="s">
        <v>22</v>
      </c>
      <c r="B48" t="s">
        <v>26</v>
      </c>
      <c r="C48" t="s">
        <v>35</v>
      </c>
      <c r="D48" t="s">
        <v>200</v>
      </c>
      <c r="E48" t="s">
        <v>201</v>
      </c>
      <c r="F48" s="16">
        <v>1</v>
      </c>
      <c r="G48">
        <v>110</v>
      </c>
      <c r="H48" s="16">
        <v>30</v>
      </c>
      <c r="I48" t="s">
        <v>102</v>
      </c>
    </row>
    <row r="49" spans="1:9" ht="18" customHeight="1" x14ac:dyDescent="0.25">
      <c r="A49" t="s">
        <v>22</v>
      </c>
      <c r="B49" t="s">
        <v>26</v>
      </c>
      <c r="C49" t="s">
        <v>42</v>
      </c>
      <c r="D49" t="s">
        <v>202</v>
      </c>
      <c r="E49" t="s">
        <v>203</v>
      </c>
      <c r="F49" s="16">
        <v>1</v>
      </c>
      <c r="G49">
        <v>120</v>
      </c>
      <c r="H49" s="16">
        <v>20</v>
      </c>
      <c r="I49" t="s">
        <v>204</v>
      </c>
    </row>
    <row r="50" spans="1:9" ht="18" customHeight="1" x14ac:dyDescent="0.25">
      <c r="A50" t="s">
        <v>22</v>
      </c>
      <c r="B50" t="s">
        <v>26</v>
      </c>
      <c r="C50" t="s">
        <v>35</v>
      </c>
      <c r="D50" t="s">
        <v>197</v>
      </c>
      <c r="E50" t="s">
        <v>198</v>
      </c>
      <c r="F50" s="16">
        <v>1</v>
      </c>
      <c r="G50">
        <v>120</v>
      </c>
      <c r="H50" s="16">
        <v>10</v>
      </c>
      <c r="I50" t="s">
        <v>199</v>
      </c>
    </row>
    <row r="51" spans="1:9" ht="18" customHeight="1" x14ac:dyDescent="0.25">
      <c r="A51" t="s">
        <v>22</v>
      </c>
      <c r="B51" t="s">
        <v>26</v>
      </c>
      <c r="C51" t="s">
        <v>42</v>
      </c>
      <c r="D51" t="s">
        <v>205</v>
      </c>
      <c r="E51" t="s">
        <v>206</v>
      </c>
      <c r="F51" s="16">
        <v>0</v>
      </c>
      <c r="G51">
        <v>40</v>
      </c>
      <c r="H51" s="16">
        <v>0</v>
      </c>
      <c r="I51" t="s">
        <v>207</v>
      </c>
    </row>
    <row r="52" spans="1:9" ht="18" customHeight="1" x14ac:dyDescent="0.25">
      <c r="A52" t="s">
        <v>22</v>
      </c>
      <c r="B52" t="s">
        <v>67</v>
      </c>
      <c r="C52" t="s">
        <v>60</v>
      </c>
      <c r="D52" t="s">
        <v>189</v>
      </c>
      <c r="E52" t="s">
        <v>190</v>
      </c>
      <c r="F52" s="16">
        <v>1</v>
      </c>
      <c r="G52">
        <v>50</v>
      </c>
      <c r="H52" s="16">
        <v>10</v>
      </c>
      <c r="I52" t="s">
        <v>164</v>
      </c>
    </row>
    <row r="53" spans="1:9" ht="18" customHeight="1" x14ac:dyDescent="0.25">
      <c r="A53" t="s">
        <v>22</v>
      </c>
      <c r="B53" t="s">
        <v>67</v>
      </c>
      <c r="C53" t="s">
        <v>35</v>
      </c>
      <c r="D53" t="s">
        <v>183</v>
      </c>
      <c r="E53" t="s">
        <v>184</v>
      </c>
      <c r="F53" s="16">
        <v>1</v>
      </c>
      <c r="G53">
        <v>130</v>
      </c>
      <c r="H53" s="16">
        <v>0</v>
      </c>
      <c r="I53" t="s">
        <v>185</v>
      </c>
    </row>
    <row r="54" spans="1:9" ht="18" customHeight="1" x14ac:dyDescent="0.25">
      <c r="A54" t="s">
        <v>22</v>
      </c>
      <c r="B54" t="s">
        <v>67</v>
      </c>
      <c r="C54" t="s">
        <v>96</v>
      </c>
      <c r="D54" t="s">
        <v>191</v>
      </c>
      <c r="E54" t="s">
        <v>192</v>
      </c>
      <c r="F54" s="16">
        <v>1</v>
      </c>
      <c r="G54">
        <v>110</v>
      </c>
      <c r="H54" s="16">
        <v>50</v>
      </c>
      <c r="I54" t="s">
        <v>193</v>
      </c>
    </row>
    <row r="55" spans="1:9" ht="18" customHeight="1" x14ac:dyDescent="0.25">
      <c r="A55" t="s">
        <v>22</v>
      </c>
      <c r="B55" t="s">
        <v>67</v>
      </c>
      <c r="C55" t="s">
        <v>35</v>
      </c>
      <c r="D55" t="s">
        <v>180</v>
      </c>
      <c r="E55" t="s">
        <v>181</v>
      </c>
      <c r="F55" s="16">
        <v>1</v>
      </c>
      <c r="G55">
        <v>120</v>
      </c>
      <c r="H55" s="16">
        <v>0</v>
      </c>
      <c r="I55" t="s">
        <v>182</v>
      </c>
    </row>
    <row r="56" spans="1:9" ht="18" customHeight="1" x14ac:dyDescent="0.25">
      <c r="A56" t="s">
        <v>22</v>
      </c>
      <c r="B56" t="s">
        <v>67</v>
      </c>
      <c r="C56" t="s">
        <v>96</v>
      </c>
      <c r="D56" t="s">
        <v>194</v>
      </c>
      <c r="E56" t="s">
        <v>195</v>
      </c>
      <c r="F56" s="16">
        <v>0</v>
      </c>
      <c r="G56">
        <v>0</v>
      </c>
      <c r="H56" s="16">
        <v>40</v>
      </c>
      <c r="I56" t="s">
        <v>196</v>
      </c>
    </row>
    <row r="57" spans="1:9" ht="18" customHeight="1" x14ac:dyDescent="0.25">
      <c r="A57" t="s">
        <v>22</v>
      </c>
      <c r="B57" t="s">
        <v>67</v>
      </c>
      <c r="C57" t="s">
        <v>60</v>
      </c>
      <c r="D57" t="s">
        <v>186</v>
      </c>
      <c r="E57" t="s">
        <v>187</v>
      </c>
      <c r="F57" s="16">
        <v>1</v>
      </c>
      <c r="G57">
        <v>120</v>
      </c>
      <c r="H57" s="16">
        <v>30</v>
      </c>
      <c r="I57" t="s">
        <v>188</v>
      </c>
    </row>
    <row r="58" spans="1:9" ht="18" customHeight="1" x14ac:dyDescent="0.25">
      <c r="A58" t="s">
        <v>22</v>
      </c>
      <c r="B58" t="s">
        <v>25</v>
      </c>
      <c r="C58" t="s">
        <v>96</v>
      </c>
      <c r="D58" t="s">
        <v>177</v>
      </c>
      <c r="E58" t="s">
        <v>178</v>
      </c>
      <c r="F58" s="16">
        <v>1</v>
      </c>
      <c r="G58">
        <v>80</v>
      </c>
      <c r="H58" s="16">
        <v>0</v>
      </c>
      <c r="I58" t="s">
        <v>179</v>
      </c>
    </row>
    <row r="59" spans="1:9" ht="18" customHeight="1" x14ac:dyDescent="0.25">
      <c r="A59" t="s">
        <v>22</v>
      </c>
      <c r="B59" t="s">
        <v>25</v>
      </c>
      <c r="C59" t="s">
        <v>42</v>
      </c>
      <c r="D59" t="s">
        <v>168</v>
      </c>
      <c r="E59" t="s">
        <v>169</v>
      </c>
      <c r="F59" s="16">
        <v>1</v>
      </c>
      <c r="G59">
        <v>120</v>
      </c>
      <c r="H59" s="16">
        <v>30</v>
      </c>
      <c r="I59" t="s">
        <v>170</v>
      </c>
    </row>
    <row r="60" spans="1:9" ht="18" customHeight="1" x14ac:dyDescent="0.25">
      <c r="A60" t="s">
        <v>22</v>
      </c>
      <c r="B60" t="s">
        <v>25</v>
      </c>
      <c r="C60" t="s">
        <v>42</v>
      </c>
      <c r="D60" t="s">
        <v>174</v>
      </c>
      <c r="E60" t="s">
        <v>175</v>
      </c>
      <c r="F60" s="16">
        <v>1</v>
      </c>
      <c r="G60">
        <v>110</v>
      </c>
      <c r="H60" s="16">
        <v>40</v>
      </c>
      <c r="I60" t="s">
        <v>176</v>
      </c>
    </row>
    <row r="61" spans="1:9" ht="18" customHeight="1" x14ac:dyDescent="0.25">
      <c r="A61" t="s">
        <v>22</v>
      </c>
      <c r="B61" t="s">
        <v>25</v>
      </c>
      <c r="C61" t="s">
        <v>42</v>
      </c>
      <c r="D61" t="s">
        <v>171</v>
      </c>
      <c r="E61" t="s">
        <v>172</v>
      </c>
      <c r="F61" s="16">
        <v>1</v>
      </c>
      <c r="G61">
        <v>25</v>
      </c>
      <c r="H61" s="16">
        <v>0</v>
      </c>
      <c r="I61" t="s">
        <v>173</v>
      </c>
    </row>
    <row r="62" spans="1:9" ht="18" customHeight="1" x14ac:dyDescent="0.25">
      <c r="A62" t="s">
        <v>22</v>
      </c>
      <c r="B62" t="s">
        <v>27</v>
      </c>
      <c r="C62" t="s">
        <v>96</v>
      </c>
      <c r="D62" t="s">
        <v>223</v>
      </c>
      <c r="E62" t="s">
        <v>224</v>
      </c>
      <c r="F62" s="16">
        <v>1</v>
      </c>
      <c r="G62">
        <v>40</v>
      </c>
      <c r="H62" s="16">
        <v>90</v>
      </c>
      <c r="I62" t="s">
        <v>225</v>
      </c>
    </row>
    <row r="63" spans="1:9" ht="18" customHeight="1" x14ac:dyDescent="0.25">
      <c r="A63" t="s">
        <v>22</v>
      </c>
      <c r="B63" t="s">
        <v>27</v>
      </c>
      <c r="C63" t="s">
        <v>60</v>
      </c>
      <c r="D63" t="s">
        <v>220</v>
      </c>
      <c r="E63" t="s">
        <v>221</v>
      </c>
      <c r="F63" s="16">
        <v>1</v>
      </c>
      <c r="G63">
        <v>150</v>
      </c>
      <c r="H63" s="16">
        <v>0</v>
      </c>
      <c r="I63" t="s">
        <v>222</v>
      </c>
    </row>
    <row r="64" spans="1:9" ht="18" customHeight="1" x14ac:dyDescent="0.25">
      <c r="A64" t="s">
        <v>22</v>
      </c>
      <c r="B64" t="s">
        <v>27</v>
      </c>
      <c r="C64" t="s">
        <v>96</v>
      </c>
      <c r="D64" t="s">
        <v>226</v>
      </c>
      <c r="E64" t="s">
        <v>227</v>
      </c>
      <c r="F64" s="16">
        <v>1</v>
      </c>
      <c r="G64">
        <v>100</v>
      </c>
      <c r="H64" s="16">
        <v>50</v>
      </c>
      <c r="I64" t="s">
        <v>228</v>
      </c>
    </row>
    <row r="65" spans="1:9" ht="18" customHeight="1" x14ac:dyDescent="0.25">
      <c r="A65" t="s">
        <v>22</v>
      </c>
      <c r="B65" t="s">
        <v>27</v>
      </c>
      <c r="C65" t="s">
        <v>60</v>
      </c>
      <c r="D65" t="s">
        <v>44</v>
      </c>
      <c r="E65" t="s">
        <v>219</v>
      </c>
      <c r="F65" s="16">
        <v>1</v>
      </c>
      <c r="G65">
        <v>110</v>
      </c>
      <c r="H65" s="16">
        <v>20</v>
      </c>
      <c r="I65" t="s">
        <v>89</v>
      </c>
    </row>
    <row r="66" spans="1:9" ht="18" customHeight="1" x14ac:dyDescent="0.25">
      <c r="A66" t="s">
        <v>22</v>
      </c>
      <c r="B66" t="s">
        <v>27</v>
      </c>
      <c r="C66" t="s">
        <v>42</v>
      </c>
      <c r="D66" t="s">
        <v>217</v>
      </c>
      <c r="E66" t="s">
        <v>218</v>
      </c>
      <c r="F66" s="16">
        <v>1</v>
      </c>
      <c r="G66">
        <v>120</v>
      </c>
      <c r="H66" s="16">
        <v>30</v>
      </c>
      <c r="I66" t="s">
        <v>99</v>
      </c>
    </row>
    <row r="67" spans="1:9" ht="18" customHeight="1" x14ac:dyDescent="0.25">
      <c r="A67" t="s">
        <v>22</v>
      </c>
      <c r="B67" t="s">
        <v>27</v>
      </c>
      <c r="C67" t="s">
        <v>35</v>
      </c>
      <c r="D67" t="s">
        <v>214</v>
      </c>
      <c r="E67" t="s">
        <v>215</v>
      </c>
      <c r="F67" s="16">
        <v>0</v>
      </c>
      <c r="G67">
        <v>120</v>
      </c>
      <c r="H67" s="16">
        <v>0</v>
      </c>
      <c r="I67" t="s">
        <v>216</v>
      </c>
    </row>
    <row r="68" spans="1:9" ht="18" customHeight="1" x14ac:dyDescent="0.25">
      <c r="A68" t="s">
        <v>14</v>
      </c>
      <c r="B68" t="s">
        <v>26</v>
      </c>
      <c r="C68" t="s">
        <v>47</v>
      </c>
      <c r="D68" t="s">
        <v>257</v>
      </c>
      <c r="E68" t="s">
        <v>258</v>
      </c>
      <c r="F68" s="16">
        <v>1</v>
      </c>
      <c r="G68">
        <v>40</v>
      </c>
      <c r="H68" s="16">
        <v>60</v>
      </c>
      <c r="I68" t="s">
        <v>259</v>
      </c>
    </row>
    <row r="69" spans="1:9" ht="18" customHeight="1" x14ac:dyDescent="0.25">
      <c r="A69" t="s">
        <v>14</v>
      </c>
      <c r="B69" t="s">
        <v>26</v>
      </c>
      <c r="C69" t="s">
        <v>96</v>
      </c>
      <c r="D69" t="s">
        <v>272</v>
      </c>
      <c r="E69" t="s">
        <v>273</v>
      </c>
      <c r="F69" s="16">
        <v>1</v>
      </c>
      <c r="G69">
        <v>110</v>
      </c>
      <c r="H69" s="16">
        <v>40</v>
      </c>
      <c r="I69" t="s">
        <v>274</v>
      </c>
    </row>
    <row r="70" spans="1:9" ht="18" customHeight="1" x14ac:dyDescent="0.25">
      <c r="A70" t="s">
        <v>14</v>
      </c>
      <c r="B70" t="s">
        <v>26</v>
      </c>
      <c r="C70" t="s">
        <v>42</v>
      </c>
      <c r="D70" t="s">
        <v>260</v>
      </c>
      <c r="E70" t="s">
        <v>261</v>
      </c>
      <c r="F70" s="16">
        <v>0</v>
      </c>
      <c r="G70">
        <v>10</v>
      </c>
      <c r="H70" s="16">
        <v>30</v>
      </c>
      <c r="I70" t="s">
        <v>262</v>
      </c>
    </row>
    <row r="71" spans="1:9" ht="18" customHeight="1" x14ac:dyDescent="0.25">
      <c r="A71" t="s">
        <v>14</v>
      </c>
      <c r="B71" t="s">
        <v>26</v>
      </c>
      <c r="C71" t="s">
        <v>60</v>
      </c>
      <c r="D71" t="s">
        <v>263</v>
      </c>
      <c r="E71" t="s">
        <v>264</v>
      </c>
      <c r="F71" s="16">
        <v>1</v>
      </c>
      <c r="G71">
        <v>110</v>
      </c>
      <c r="H71" s="16">
        <v>50</v>
      </c>
      <c r="I71" t="s">
        <v>265</v>
      </c>
    </row>
    <row r="72" spans="1:9" ht="18" customHeight="1" x14ac:dyDescent="0.25">
      <c r="A72" t="s">
        <v>14</v>
      </c>
      <c r="B72" t="s">
        <v>26</v>
      </c>
      <c r="C72" t="s">
        <v>60</v>
      </c>
      <c r="D72" t="s">
        <v>266</v>
      </c>
      <c r="E72" t="s">
        <v>267</v>
      </c>
      <c r="F72" s="16">
        <v>1</v>
      </c>
      <c r="G72">
        <v>100</v>
      </c>
      <c r="H72" s="16">
        <v>40</v>
      </c>
      <c r="I72" t="s">
        <v>268</v>
      </c>
    </row>
    <row r="73" spans="1:9" ht="18" customHeight="1" x14ac:dyDescent="0.25">
      <c r="A73" t="s">
        <v>14</v>
      </c>
      <c r="B73" t="s">
        <v>26</v>
      </c>
      <c r="C73" t="s">
        <v>96</v>
      </c>
      <c r="D73" t="s">
        <v>269</v>
      </c>
      <c r="E73" t="s">
        <v>270</v>
      </c>
      <c r="F73" s="16">
        <v>1</v>
      </c>
      <c r="G73">
        <v>100</v>
      </c>
      <c r="H73" s="16">
        <v>50</v>
      </c>
      <c r="I73" t="s">
        <v>271</v>
      </c>
    </row>
    <row r="74" spans="1:9" ht="18" customHeight="1" x14ac:dyDescent="0.25">
      <c r="A74" t="s">
        <v>14</v>
      </c>
      <c r="B74" t="s">
        <v>67</v>
      </c>
      <c r="C74" t="s">
        <v>60</v>
      </c>
      <c r="D74" t="s">
        <v>246</v>
      </c>
      <c r="E74" t="s">
        <v>247</v>
      </c>
      <c r="F74" s="16">
        <v>1</v>
      </c>
      <c r="G74">
        <v>80</v>
      </c>
      <c r="H74" s="16">
        <v>50</v>
      </c>
      <c r="I74" t="s">
        <v>236</v>
      </c>
    </row>
    <row r="75" spans="1:9" ht="18" customHeight="1" x14ac:dyDescent="0.25">
      <c r="A75" t="s">
        <v>14</v>
      </c>
      <c r="B75" t="s">
        <v>67</v>
      </c>
      <c r="C75" t="s">
        <v>60</v>
      </c>
      <c r="D75" t="s">
        <v>248</v>
      </c>
      <c r="E75" t="s">
        <v>249</v>
      </c>
      <c r="F75" s="16">
        <v>0</v>
      </c>
      <c r="G75">
        <v>40</v>
      </c>
      <c r="H75" s="16">
        <v>0</v>
      </c>
      <c r="I75" t="s">
        <v>250</v>
      </c>
    </row>
    <row r="76" spans="1:9" ht="18" customHeight="1" x14ac:dyDescent="0.25">
      <c r="A76" t="s">
        <v>14</v>
      </c>
      <c r="B76" t="s">
        <v>67</v>
      </c>
      <c r="C76" t="s">
        <v>60</v>
      </c>
      <c r="D76" t="s">
        <v>251</v>
      </c>
      <c r="E76" t="s">
        <v>252</v>
      </c>
      <c r="F76" s="16">
        <v>1</v>
      </c>
      <c r="G76">
        <v>110</v>
      </c>
      <c r="H76" s="16">
        <v>50</v>
      </c>
      <c r="I76" t="s">
        <v>253</v>
      </c>
    </row>
    <row r="77" spans="1:9" ht="18" customHeight="1" x14ac:dyDescent="0.25">
      <c r="A77" t="s">
        <v>14</v>
      </c>
      <c r="B77" t="s">
        <v>67</v>
      </c>
      <c r="C77" t="s">
        <v>96</v>
      </c>
      <c r="D77" t="s">
        <v>254</v>
      </c>
      <c r="E77" t="s">
        <v>255</v>
      </c>
      <c r="F77" s="16">
        <v>1</v>
      </c>
      <c r="G77">
        <v>110</v>
      </c>
      <c r="H77" s="16">
        <v>30</v>
      </c>
      <c r="I77" t="s">
        <v>256</v>
      </c>
    </row>
    <row r="78" spans="1:9" ht="18" customHeight="1" x14ac:dyDescent="0.25">
      <c r="A78" t="s">
        <v>14</v>
      </c>
      <c r="B78" t="s">
        <v>67</v>
      </c>
      <c r="C78" t="s">
        <v>35</v>
      </c>
      <c r="D78" t="s">
        <v>240</v>
      </c>
      <c r="E78" t="s">
        <v>241</v>
      </c>
      <c r="F78" s="16">
        <v>0</v>
      </c>
      <c r="G78">
        <v>20</v>
      </c>
      <c r="H78" s="16">
        <v>20</v>
      </c>
      <c r="I78" t="s">
        <v>242</v>
      </c>
    </row>
    <row r="79" spans="1:9" ht="18" customHeight="1" x14ac:dyDescent="0.25">
      <c r="A79" t="s">
        <v>14</v>
      </c>
      <c r="B79" t="s">
        <v>67</v>
      </c>
      <c r="C79" t="s">
        <v>42</v>
      </c>
      <c r="D79" t="s">
        <v>243</v>
      </c>
      <c r="E79" t="s">
        <v>244</v>
      </c>
      <c r="F79" s="16">
        <v>1</v>
      </c>
      <c r="G79">
        <v>80</v>
      </c>
      <c r="H79" s="16">
        <v>60</v>
      </c>
      <c r="I79" t="s">
        <v>245</v>
      </c>
    </row>
    <row r="80" spans="1:9" ht="18" customHeight="1" x14ac:dyDescent="0.25">
      <c r="A80" t="s">
        <v>14</v>
      </c>
      <c r="B80" t="s">
        <v>25</v>
      </c>
      <c r="C80" t="s">
        <v>42</v>
      </c>
      <c r="D80" t="s">
        <v>229</v>
      </c>
      <c r="E80" t="s">
        <v>230</v>
      </c>
      <c r="F80" s="16">
        <v>1</v>
      </c>
      <c r="G80">
        <v>120</v>
      </c>
      <c r="H80" s="16">
        <v>30</v>
      </c>
      <c r="I80" t="s">
        <v>231</v>
      </c>
    </row>
    <row r="81" spans="1:9" ht="18" customHeight="1" x14ac:dyDescent="0.25">
      <c r="A81" t="s">
        <v>14</v>
      </c>
      <c r="B81" t="s">
        <v>25</v>
      </c>
      <c r="C81" t="s">
        <v>148</v>
      </c>
      <c r="D81" t="s">
        <v>234</v>
      </c>
      <c r="E81" t="s">
        <v>235</v>
      </c>
      <c r="F81" s="16">
        <v>0</v>
      </c>
      <c r="G81">
        <v>20</v>
      </c>
      <c r="H81" s="16">
        <v>0</v>
      </c>
      <c r="I81" t="s">
        <v>236</v>
      </c>
    </row>
    <row r="82" spans="1:9" ht="18" customHeight="1" x14ac:dyDescent="0.25">
      <c r="A82" t="s">
        <v>14</v>
      </c>
      <c r="B82" t="s">
        <v>25</v>
      </c>
      <c r="C82" t="s">
        <v>148</v>
      </c>
      <c r="D82" t="s">
        <v>237</v>
      </c>
      <c r="E82" t="s">
        <v>238</v>
      </c>
      <c r="F82" s="16">
        <v>0</v>
      </c>
      <c r="G82">
        <v>30</v>
      </c>
      <c r="H82" s="16">
        <v>0</v>
      </c>
      <c r="I82" t="s">
        <v>239</v>
      </c>
    </row>
    <row r="83" spans="1:9" ht="18" customHeight="1" x14ac:dyDescent="0.25">
      <c r="A83" t="s">
        <v>14</v>
      </c>
      <c r="B83" t="s">
        <v>25</v>
      </c>
      <c r="C83" t="s">
        <v>42</v>
      </c>
      <c r="D83" t="s">
        <v>232</v>
      </c>
      <c r="E83" t="s">
        <v>233</v>
      </c>
      <c r="F83" s="16">
        <v>1</v>
      </c>
      <c r="G83">
        <v>70</v>
      </c>
      <c r="H83" s="16">
        <v>40</v>
      </c>
      <c r="I83" t="s">
        <v>45</v>
      </c>
    </row>
    <row r="84" spans="1:9" ht="18" customHeight="1" x14ac:dyDescent="0.25">
      <c r="A84" t="s">
        <v>14</v>
      </c>
      <c r="B84" t="s">
        <v>27</v>
      </c>
      <c r="C84" t="s">
        <v>148</v>
      </c>
      <c r="D84" t="s">
        <v>284</v>
      </c>
      <c r="E84" t="s">
        <v>285</v>
      </c>
      <c r="F84" s="16">
        <v>0</v>
      </c>
      <c r="G84">
        <v>30</v>
      </c>
      <c r="H84" s="16">
        <v>0</v>
      </c>
      <c r="I84" t="s">
        <v>286</v>
      </c>
    </row>
    <row r="85" spans="1:9" ht="18" customHeight="1" x14ac:dyDescent="0.25">
      <c r="A85" t="s">
        <v>14</v>
      </c>
      <c r="B85" t="s">
        <v>27</v>
      </c>
      <c r="C85" t="s">
        <v>148</v>
      </c>
      <c r="D85" t="s">
        <v>287</v>
      </c>
      <c r="E85" t="s">
        <v>288</v>
      </c>
      <c r="F85" s="16">
        <v>1</v>
      </c>
      <c r="G85">
        <v>30</v>
      </c>
      <c r="H85" s="16">
        <v>40</v>
      </c>
      <c r="I85" t="s">
        <v>289</v>
      </c>
    </row>
    <row r="86" spans="1:9" ht="18" customHeight="1" x14ac:dyDescent="0.25">
      <c r="A86" t="s">
        <v>14</v>
      </c>
      <c r="B86" t="s">
        <v>27</v>
      </c>
      <c r="C86" t="s">
        <v>148</v>
      </c>
      <c r="D86" t="s">
        <v>281</v>
      </c>
      <c r="E86" t="s">
        <v>282</v>
      </c>
      <c r="F86" s="16">
        <v>0</v>
      </c>
      <c r="G86">
        <v>60</v>
      </c>
      <c r="H86" s="16">
        <v>0</v>
      </c>
      <c r="I86" t="s">
        <v>283</v>
      </c>
    </row>
    <row r="87" spans="1:9" ht="18" customHeight="1" x14ac:dyDescent="0.25">
      <c r="A87" t="s">
        <v>14</v>
      </c>
      <c r="B87" t="s">
        <v>27</v>
      </c>
      <c r="C87" t="s">
        <v>290</v>
      </c>
      <c r="D87" t="s">
        <v>291</v>
      </c>
      <c r="E87" t="s">
        <v>292</v>
      </c>
      <c r="F87" s="16">
        <v>1</v>
      </c>
      <c r="G87">
        <v>30</v>
      </c>
      <c r="H87" s="16">
        <v>80</v>
      </c>
      <c r="I87" t="s">
        <v>293</v>
      </c>
    </row>
    <row r="88" spans="1:9" ht="18" customHeight="1" x14ac:dyDescent="0.25">
      <c r="A88" t="s">
        <v>14</v>
      </c>
      <c r="B88" t="s">
        <v>27</v>
      </c>
      <c r="C88" t="s">
        <v>35</v>
      </c>
      <c r="D88" t="s">
        <v>275</v>
      </c>
      <c r="E88" t="s">
        <v>276</v>
      </c>
      <c r="F88" s="16">
        <v>1</v>
      </c>
      <c r="G88">
        <v>105</v>
      </c>
      <c r="H88" s="16">
        <v>80</v>
      </c>
      <c r="I88" t="s">
        <v>277</v>
      </c>
    </row>
    <row r="89" spans="1:9" ht="18" customHeight="1" x14ac:dyDescent="0.25">
      <c r="A89" t="s">
        <v>14</v>
      </c>
      <c r="B89" t="s">
        <v>27</v>
      </c>
      <c r="C89" t="s">
        <v>35</v>
      </c>
      <c r="D89" t="s">
        <v>278</v>
      </c>
      <c r="E89" t="s">
        <v>279</v>
      </c>
      <c r="F89" s="16">
        <v>1</v>
      </c>
      <c r="G89">
        <v>60</v>
      </c>
      <c r="H89" s="16">
        <v>30</v>
      </c>
      <c r="I89" t="s">
        <v>280</v>
      </c>
    </row>
    <row r="90" spans="1:9" ht="18" customHeight="1" x14ac:dyDescent="0.25">
      <c r="A90" t="s">
        <v>5</v>
      </c>
      <c r="B90" t="s">
        <v>26</v>
      </c>
      <c r="C90" t="s">
        <v>96</v>
      </c>
      <c r="D90" t="s">
        <v>337</v>
      </c>
      <c r="E90" t="s">
        <v>338</v>
      </c>
      <c r="F90" s="16">
        <v>1</v>
      </c>
      <c r="G90">
        <v>0</v>
      </c>
      <c r="H90" s="16">
        <v>80</v>
      </c>
      <c r="I90" t="s">
        <v>339</v>
      </c>
    </row>
    <row r="91" spans="1:9" ht="18" customHeight="1" x14ac:dyDescent="0.25">
      <c r="A91" t="s">
        <v>5</v>
      </c>
      <c r="B91" t="s">
        <v>26</v>
      </c>
      <c r="C91" t="s">
        <v>60</v>
      </c>
      <c r="D91" t="s">
        <v>332</v>
      </c>
      <c r="E91" t="s">
        <v>333</v>
      </c>
      <c r="F91" s="16">
        <v>1</v>
      </c>
      <c r="G91">
        <v>0</v>
      </c>
      <c r="H91" s="16">
        <v>40</v>
      </c>
      <c r="I91" t="s">
        <v>313</v>
      </c>
    </row>
    <row r="92" spans="1:9" ht="18" customHeight="1" x14ac:dyDescent="0.25">
      <c r="A92" t="s">
        <v>5</v>
      </c>
      <c r="B92" t="s">
        <v>26</v>
      </c>
      <c r="C92" t="s">
        <v>35</v>
      </c>
      <c r="D92" t="s">
        <v>329</v>
      </c>
      <c r="E92" t="s">
        <v>330</v>
      </c>
      <c r="F92" s="16">
        <v>0</v>
      </c>
      <c r="G92">
        <v>0</v>
      </c>
      <c r="H92" s="16">
        <v>50</v>
      </c>
      <c r="I92" t="s">
        <v>331</v>
      </c>
    </row>
    <row r="93" spans="1:9" ht="18" customHeight="1" x14ac:dyDescent="0.25">
      <c r="A93" t="s">
        <v>5</v>
      </c>
      <c r="B93" t="s">
        <v>26</v>
      </c>
      <c r="C93" t="s">
        <v>47</v>
      </c>
      <c r="D93" t="s">
        <v>323</v>
      </c>
      <c r="E93" t="s">
        <v>324</v>
      </c>
      <c r="F93" s="16">
        <v>1</v>
      </c>
      <c r="G93">
        <v>0</v>
      </c>
      <c r="H93" s="16">
        <v>15</v>
      </c>
      <c r="I93" t="s">
        <v>325</v>
      </c>
    </row>
    <row r="94" spans="1:9" ht="18" customHeight="1" x14ac:dyDescent="0.25">
      <c r="A94" t="s">
        <v>5</v>
      </c>
      <c r="B94" t="s">
        <v>26</v>
      </c>
      <c r="C94" t="s">
        <v>35</v>
      </c>
      <c r="D94" t="s">
        <v>326</v>
      </c>
      <c r="E94" t="s">
        <v>327</v>
      </c>
      <c r="F94" s="16">
        <v>0</v>
      </c>
      <c r="G94">
        <v>0</v>
      </c>
      <c r="H94" s="16">
        <v>50</v>
      </c>
      <c r="I94" t="s">
        <v>328</v>
      </c>
    </row>
    <row r="95" spans="1:9" ht="18" customHeight="1" x14ac:dyDescent="0.25">
      <c r="A95" t="s">
        <v>5</v>
      </c>
      <c r="B95" t="s">
        <v>26</v>
      </c>
      <c r="C95" t="s">
        <v>60</v>
      </c>
      <c r="D95" t="s">
        <v>334</v>
      </c>
      <c r="E95" t="s">
        <v>335</v>
      </c>
      <c r="F95" s="16">
        <v>1</v>
      </c>
      <c r="G95">
        <v>45</v>
      </c>
      <c r="H95" s="16">
        <v>80</v>
      </c>
      <c r="I95" t="s">
        <v>336</v>
      </c>
    </row>
    <row r="96" spans="1:9" ht="18" customHeight="1" x14ac:dyDescent="0.25">
      <c r="A96" t="s">
        <v>5</v>
      </c>
      <c r="B96" t="s">
        <v>67</v>
      </c>
      <c r="C96" t="s">
        <v>35</v>
      </c>
      <c r="D96" t="s">
        <v>305</v>
      </c>
      <c r="E96" t="s">
        <v>306</v>
      </c>
      <c r="F96" s="16">
        <v>1</v>
      </c>
      <c r="G96">
        <v>105</v>
      </c>
      <c r="H96" s="16">
        <v>40</v>
      </c>
      <c r="I96" t="s">
        <v>307</v>
      </c>
    </row>
    <row r="97" spans="1:9" ht="18" customHeight="1" x14ac:dyDescent="0.25">
      <c r="A97" t="s">
        <v>5</v>
      </c>
      <c r="B97" t="s">
        <v>67</v>
      </c>
      <c r="C97" t="s">
        <v>290</v>
      </c>
      <c r="D97" t="s">
        <v>320</v>
      </c>
      <c r="E97" t="s">
        <v>321</v>
      </c>
      <c r="F97" s="16">
        <v>2</v>
      </c>
      <c r="G97">
        <v>0</v>
      </c>
      <c r="H97" s="16">
        <v>0</v>
      </c>
      <c r="I97" t="s">
        <v>322</v>
      </c>
    </row>
    <row r="98" spans="1:9" ht="18" customHeight="1" x14ac:dyDescent="0.25">
      <c r="A98" t="s">
        <v>5</v>
      </c>
      <c r="B98" t="s">
        <v>67</v>
      </c>
      <c r="C98" t="s">
        <v>96</v>
      </c>
      <c r="D98" t="s">
        <v>317</v>
      </c>
      <c r="E98" t="s">
        <v>318</v>
      </c>
      <c r="F98" s="16">
        <v>1</v>
      </c>
      <c r="G98">
        <v>30</v>
      </c>
      <c r="H98" s="16">
        <v>50</v>
      </c>
      <c r="I98" t="s">
        <v>319</v>
      </c>
    </row>
    <row r="99" spans="1:9" ht="18" customHeight="1" x14ac:dyDescent="0.25">
      <c r="A99" t="s">
        <v>5</v>
      </c>
      <c r="B99" t="s">
        <v>67</v>
      </c>
      <c r="C99" t="s">
        <v>35</v>
      </c>
      <c r="D99" t="s">
        <v>308</v>
      </c>
      <c r="E99" t="s">
        <v>309</v>
      </c>
      <c r="F99" s="16">
        <v>1</v>
      </c>
      <c r="G99">
        <v>110</v>
      </c>
      <c r="H99" s="16">
        <v>20</v>
      </c>
      <c r="I99" t="s">
        <v>310</v>
      </c>
    </row>
    <row r="100" spans="1:9" ht="18" customHeight="1" x14ac:dyDescent="0.25">
      <c r="A100" t="s">
        <v>5</v>
      </c>
      <c r="B100" t="s">
        <v>67</v>
      </c>
      <c r="C100" t="s">
        <v>42</v>
      </c>
      <c r="D100" t="s">
        <v>311</v>
      </c>
      <c r="E100" t="s">
        <v>312</v>
      </c>
      <c r="F100" s="16">
        <v>1</v>
      </c>
      <c r="G100">
        <v>0</v>
      </c>
      <c r="H100" s="16">
        <v>40</v>
      </c>
      <c r="I100" t="s">
        <v>313</v>
      </c>
    </row>
    <row r="101" spans="1:9" ht="18" customHeight="1" x14ac:dyDescent="0.25">
      <c r="A101" t="s">
        <v>5</v>
      </c>
      <c r="B101" t="s">
        <v>67</v>
      </c>
      <c r="C101" t="s">
        <v>60</v>
      </c>
      <c r="D101" t="s">
        <v>314</v>
      </c>
      <c r="E101" t="s">
        <v>315</v>
      </c>
      <c r="F101" s="16">
        <v>1</v>
      </c>
      <c r="G101">
        <v>80</v>
      </c>
      <c r="H101" s="16">
        <v>70</v>
      </c>
      <c r="I101" t="s">
        <v>316</v>
      </c>
    </row>
    <row r="102" spans="1:9" ht="18" customHeight="1" x14ac:dyDescent="0.25">
      <c r="A102" t="s">
        <v>5</v>
      </c>
      <c r="B102" t="s">
        <v>25</v>
      </c>
      <c r="C102" t="s">
        <v>35</v>
      </c>
      <c r="D102" t="s">
        <v>294</v>
      </c>
      <c r="E102" t="s">
        <v>295</v>
      </c>
      <c r="F102" s="16">
        <v>1</v>
      </c>
      <c r="G102">
        <v>30</v>
      </c>
      <c r="H102" s="16">
        <v>30</v>
      </c>
      <c r="I102" t="s">
        <v>161</v>
      </c>
    </row>
    <row r="103" spans="1:9" ht="18" customHeight="1" x14ac:dyDescent="0.25">
      <c r="A103" t="s">
        <v>5</v>
      </c>
      <c r="B103" t="s">
        <v>25</v>
      </c>
      <c r="C103" t="s">
        <v>96</v>
      </c>
      <c r="D103" t="s">
        <v>299</v>
      </c>
      <c r="E103" t="s">
        <v>300</v>
      </c>
      <c r="F103" s="16">
        <v>1</v>
      </c>
      <c r="G103">
        <v>75</v>
      </c>
      <c r="H103" s="16">
        <v>75</v>
      </c>
      <c r="I103" t="s">
        <v>301</v>
      </c>
    </row>
    <row r="104" spans="1:9" ht="18" customHeight="1" x14ac:dyDescent="0.25">
      <c r="A104" t="s">
        <v>5</v>
      </c>
      <c r="B104" t="s">
        <v>25</v>
      </c>
      <c r="C104" t="s">
        <v>148</v>
      </c>
      <c r="D104" t="s">
        <v>302</v>
      </c>
      <c r="E104" t="s">
        <v>303</v>
      </c>
      <c r="F104" s="16">
        <v>1</v>
      </c>
      <c r="G104">
        <v>0</v>
      </c>
      <c r="H104" s="16">
        <v>40</v>
      </c>
      <c r="I104" t="s">
        <v>304</v>
      </c>
    </row>
    <row r="105" spans="1:9" ht="18" customHeight="1" x14ac:dyDescent="0.25">
      <c r="A105" t="s">
        <v>5</v>
      </c>
      <c r="B105" t="s">
        <v>25</v>
      </c>
      <c r="C105" t="s">
        <v>42</v>
      </c>
      <c r="D105" t="s">
        <v>296</v>
      </c>
      <c r="E105" t="s">
        <v>297</v>
      </c>
      <c r="F105" s="16">
        <v>1</v>
      </c>
      <c r="G105">
        <v>60</v>
      </c>
      <c r="H105" s="16">
        <v>60</v>
      </c>
      <c r="I105" t="s">
        <v>298</v>
      </c>
    </row>
    <row r="106" spans="1:9" ht="18" customHeight="1" x14ac:dyDescent="0.25">
      <c r="A106" t="s">
        <v>5</v>
      </c>
      <c r="B106" t="s">
        <v>27</v>
      </c>
      <c r="C106" t="s">
        <v>42</v>
      </c>
      <c r="D106" t="s">
        <v>343</v>
      </c>
      <c r="E106" t="s">
        <v>344</v>
      </c>
      <c r="F106" s="16">
        <v>1</v>
      </c>
      <c r="G106">
        <v>90</v>
      </c>
      <c r="H106" s="16">
        <v>50</v>
      </c>
      <c r="I106" t="s">
        <v>345</v>
      </c>
    </row>
    <row r="107" spans="1:9" ht="18" customHeight="1" x14ac:dyDescent="0.25">
      <c r="A107" t="s">
        <v>5</v>
      </c>
      <c r="B107" t="s">
        <v>27</v>
      </c>
      <c r="C107" t="s">
        <v>42</v>
      </c>
      <c r="D107" t="s">
        <v>346</v>
      </c>
      <c r="E107" t="s">
        <v>347</v>
      </c>
      <c r="F107" s="16">
        <v>1</v>
      </c>
      <c r="G107">
        <v>60</v>
      </c>
      <c r="H107" s="16">
        <v>80</v>
      </c>
      <c r="I107" t="s">
        <v>348</v>
      </c>
    </row>
    <row r="108" spans="1:9" ht="18" customHeight="1" x14ac:dyDescent="0.25">
      <c r="A108" t="s">
        <v>5</v>
      </c>
      <c r="B108" t="s">
        <v>27</v>
      </c>
      <c r="C108" t="s">
        <v>96</v>
      </c>
      <c r="D108" t="s">
        <v>352</v>
      </c>
      <c r="E108" t="s">
        <v>353</v>
      </c>
      <c r="F108" s="16">
        <v>1</v>
      </c>
      <c r="G108">
        <v>30</v>
      </c>
      <c r="H108" s="16">
        <v>20</v>
      </c>
      <c r="I108" t="s">
        <v>354</v>
      </c>
    </row>
    <row r="109" spans="1:9" ht="18" customHeight="1" x14ac:dyDescent="0.25">
      <c r="A109" t="s">
        <v>5</v>
      </c>
      <c r="B109" t="s">
        <v>27</v>
      </c>
      <c r="C109" t="s">
        <v>148</v>
      </c>
      <c r="D109" t="s">
        <v>355</v>
      </c>
      <c r="E109" t="s">
        <v>356</v>
      </c>
      <c r="F109" s="16">
        <v>0</v>
      </c>
      <c r="G109">
        <v>20</v>
      </c>
      <c r="H109" s="16">
        <v>30</v>
      </c>
      <c r="I109" t="s">
        <v>357</v>
      </c>
    </row>
    <row r="110" spans="1:9" ht="18" customHeight="1" x14ac:dyDescent="0.25">
      <c r="A110" t="s">
        <v>5</v>
      </c>
      <c r="B110" t="s">
        <v>27</v>
      </c>
      <c r="C110" t="s">
        <v>47</v>
      </c>
      <c r="D110" t="s">
        <v>340</v>
      </c>
      <c r="E110" t="s">
        <v>341</v>
      </c>
      <c r="F110" s="16">
        <v>1</v>
      </c>
      <c r="G110">
        <v>70</v>
      </c>
      <c r="H110" s="16">
        <v>40</v>
      </c>
      <c r="I110" t="s">
        <v>342</v>
      </c>
    </row>
    <row r="111" spans="1:9" ht="18" customHeight="1" x14ac:dyDescent="0.25">
      <c r="A111" t="s">
        <v>5</v>
      </c>
      <c r="B111" t="s">
        <v>27</v>
      </c>
      <c r="C111" t="s">
        <v>96</v>
      </c>
      <c r="D111" t="s">
        <v>349</v>
      </c>
      <c r="E111" t="s">
        <v>350</v>
      </c>
      <c r="F111" s="16">
        <v>1</v>
      </c>
      <c r="G111">
        <v>70</v>
      </c>
      <c r="H111" s="16">
        <v>80</v>
      </c>
      <c r="I111" t="s">
        <v>351</v>
      </c>
    </row>
    <row r="112" spans="1:9" ht="18" customHeight="1" x14ac:dyDescent="0.25">
      <c r="A112" t="s">
        <v>13</v>
      </c>
      <c r="B112" t="s">
        <v>26</v>
      </c>
      <c r="C112" t="s">
        <v>35</v>
      </c>
      <c r="D112" t="s">
        <v>391</v>
      </c>
      <c r="E112" t="s">
        <v>392</v>
      </c>
      <c r="F112" s="16">
        <v>0</v>
      </c>
      <c r="G112">
        <v>20</v>
      </c>
      <c r="H112" s="16">
        <v>30</v>
      </c>
      <c r="I112" t="s">
        <v>393</v>
      </c>
    </row>
    <row r="113" spans="1:9" ht="18" customHeight="1" x14ac:dyDescent="0.25">
      <c r="A113" t="s">
        <v>13</v>
      </c>
      <c r="B113" t="s">
        <v>26</v>
      </c>
      <c r="C113" t="s">
        <v>35</v>
      </c>
      <c r="D113" t="s">
        <v>388</v>
      </c>
      <c r="E113" t="s">
        <v>389</v>
      </c>
      <c r="F113" s="16">
        <v>1</v>
      </c>
      <c r="G113">
        <v>80</v>
      </c>
      <c r="H113" s="16">
        <v>50</v>
      </c>
      <c r="I113" t="s">
        <v>390</v>
      </c>
    </row>
    <row r="114" spans="1:9" ht="18" customHeight="1" x14ac:dyDescent="0.25">
      <c r="A114" t="s">
        <v>13</v>
      </c>
      <c r="B114" t="s">
        <v>26</v>
      </c>
      <c r="C114" t="s">
        <v>42</v>
      </c>
      <c r="D114" t="s">
        <v>394</v>
      </c>
      <c r="E114" t="s">
        <v>395</v>
      </c>
      <c r="F114" s="16">
        <v>1</v>
      </c>
      <c r="G114">
        <v>10</v>
      </c>
      <c r="H114">
        <v>135</v>
      </c>
      <c r="I114" t="s">
        <v>396</v>
      </c>
    </row>
    <row r="115" spans="1:9" ht="18" customHeight="1" x14ac:dyDescent="0.25">
      <c r="A115" t="s">
        <v>13</v>
      </c>
      <c r="B115" t="s">
        <v>26</v>
      </c>
      <c r="C115" t="s">
        <v>42</v>
      </c>
      <c r="D115" t="s">
        <v>400</v>
      </c>
      <c r="E115" t="s">
        <v>401</v>
      </c>
      <c r="F115" s="16">
        <v>1</v>
      </c>
      <c r="G115">
        <v>90</v>
      </c>
      <c r="H115" s="16">
        <v>60</v>
      </c>
      <c r="I115" t="s">
        <v>402</v>
      </c>
    </row>
    <row r="116" spans="1:9" ht="18" customHeight="1" x14ac:dyDescent="0.25">
      <c r="A116" t="s">
        <v>13</v>
      </c>
      <c r="B116" t="s">
        <v>26</v>
      </c>
      <c r="C116" t="s">
        <v>42</v>
      </c>
      <c r="D116" t="s">
        <v>397</v>
      </c>
      <c r="E116" t="s">
        <v>398</v>
      </c>
      <c r="F116" s="16">
        <v>1</v>
      </c>
      <c r="G116">
        <v>80</v>
      </c>
      <c r="H116" s="16">
        <v>80</v>
      </c>
      <c r="I116" t="s">
        <v>399</v>
      </c>
    </row>
    <row r="117" spans="1:9" ht="18" customHeight="1" x14ac:dyDescent="0.25">
      <c r="A117" t="s">
        <v>13</v>
      </c>
      <c r="B117" t="s">
        <v>26</v>
      </c>
      <c r="C117" t="s">
        <v>148</v>
      </c>
      <c r="D117" t="s">
        <v>403</v>
      </c>
      <c r="E117" t="s">
        <v>404</v>
      </c>
      <c r="F117" s="16">
        <v>1</v>
      </c>
      <c r="G117">
        <v>20</v>
      </c>
      <c r="H117" s="16">
        <v>80</v>
      </c>
      <c r="I117" t="s">
        <v>405</v>
      </c>
    </row>
    <row r="118" spans="1:9" ht="18" customHeight="1" x14ac:dyDescent="0.25">
      <c r="A118" t="s">
        <v>13</v>
      </c>
      <c r="B118" t="s">
        <v>67</v>
      </c>
      <c r="C118" t="s">
        <v>96</v>
      </c>
      <c r="D118" t="s">
        <v>379</v>
      </c>
      <c r="E118" t="s">
        <v>380</v>
      </c>
      <c r="F118" s="16">
        <v>1</v>
      </c>
      <c r="G118">
        <v>80</v>
      </c>
      <c r="H118" s="16">
        <v>40</v>
      </c>
      <c r="I118" t="s">
        <v>381</v>
      </c>
    </row>
    <row r="119" spans="1:9" ht="18" customHeight="1" x14ac:dyDescent="0.25">
      <c r="A119" t="s">
        <v>13</v>
      </c>
      <c r="B119" t="s">
        <v>67</v>
      </c>
      <c r="C119" t="s">
        <v>42</v>
      </c>
      <c r="D119" t="s">
        <v>373</v>
      </c>
      <c r="E119" t="s">
        <v>374</v>
      </c>
      <c r="F119" s="16">
        <v>1</v>
      </c>
      <c r="G119">
        <v>90</v>
      </c>
      <c r="H119" s="16">
        <v>60</v>
      </c>
      <c r="I119" t="s">
        <v>375</v>
      </c>
    </row>
    <row r="120" spans="1:9" ht="18" customHeight="1" x14ac:dyDescent="0.25">
      <c r="A120" t="s">
        <v>13</v>
      </c>
      <c r="B120" t="s">
        <v>67</v>
      </c>
      <c r="C120" t="s">
        <v>60</v>
      </c>
      <c r="D120" t="s">
        <v>376</v>
      </c>
      <c r="E120" t="s">
        <v>377</v>
      </c>
      <c r="F120" s="16">
        <v>1</v>
      </c>
      <c r="G120">
        <v>100</v>
      </c>
      <c r="H120" s="16">
        <v>50</v>
      </c>
      <c r="I120" t="s">
        <v>378</v>
      </c>
    </row>
    <row r="121" spans="1:9" ht="18" customHeight="1" x14ac:dyDescent="0.25">
      <c r="A121" t="s">
        <v>13</v>
      </c>
      <c r="B121" t="s">
        <v>67</v>
      </c>
      <c r="C121" t="s">
        <v>96</v>
      </c>
      <c r="D121" t="s">
        <v>382</v>
      </c>
      <c r="E121" t="s">
        <v>383</v>
      </c>
      <c r="F121" s="16">
        <v>1</v>
      </c>
      <c r="G121">
        <v>30</v>
      </c>
      <c r="H121" s="16">
        <v>80</v>
      </c>
      <c r="I121" t="s">
        <v>384</v>
      </c>
    </row>
    <row r="122" spans="1:9" ht="18" customHeight="1" x14ac:dyDescent="0.25">
      <c r="A122" t="s">
        <v>13</v>
      </c>
      <c r="B122" t="s">
        <v>67</v>
      </c>
      <c r="C122" t="s">
        <v>148</v>
      </c>
      <c r="D122" t="s">
        <v>385</v>
      </c>
      <c r="E122" t="s">
        <v>386</v>
      </c>
      <c r="F122" s="16">
        <v>1</v>
      </c>
      <c r="G122">
        <v>90</v>
      </c>
      <c r="H122" s="16">
        <v>30</v>
      </c>
      <c r="I122" t="s">
        <v>387</v>
      </c>
    </row>
    <row r="123" spans="1:9" ht="18" customHeight="1" x14ac:dyDescent="0.25">
      <c r="A123" t="s">
        <v>13</v>
      </c>
      <c r="B123" t="s">
        <v>67</v>
      </c>
      <c r="C123" t="s">
        <v>35</v>
      </c>
      <c r="D123" t="s">
        <v>370</v>
      </c>
      <c r="E123" t="s">
        <v>371</v>
      </c>
      <c r="F123" s="16">
        <v>1</v>
      </c>
      <c r="G123">
        <v>100</v>
      </c>
      <c r="H123" s="16">
        <v>40</v>
      </c>
      <c r="I123" t="s">
        <v>372</v>
      </c>
    </row>
    <row r="124" spans="1:9" ht="18" customHeight="1" x14ac:dyDescent="0.25">
      <c r="A124" t="s">
        <v>13</v>
      </c>
      <c r="B124" t="s">
        <v>25</v>
      </c>
      <c r="C124" t="s">
        <v>96</v>
      </c>
      <c r="D124" t="s">
        <v>367</v>
      </c>
      <c r="E124" t="s">
        <v>368</v>
      </c>
      <c r="F124" s="16">
        <v>1</v>
      </c>
      <c r="G124">
        <v>90</v>
      </c>
      <c r="H124" s="16">
        <v>50</v>
      </c>
      <c r="I124" t="s">
        <v>369</v>
      </c>
    </row>
    <row r="125" spans="1:9" ht="18" customHeight="1" x14ac:dyDescent="0.25">
      <c r="A125" t="s">
        <v>13</v>
      </c>
      <c r="B125" t="s">
        <v>25</v>
      </c>
      <c r="C125" t="s">
        <v>60</v>
      </c>
      <c r="D125" t="s">
        <v>364</v>
      </c>
      <c r="E125" t="s">
        <v>365</v>
      </c>
      <c r="F125" s="16">
        <v>1</v>
      </c>
      <c r="G125">
        <v>20</v>
      </c>
      <c r="H125" s="16">
        <v>40</v>
      </c>
      <c r="I125" t="s">
        <v>366</v>
      </c>
    </row>
    <row r="126" spans="1:9" ht="18" customHeight="1" x14ac:dyDescent="0.25">
      <c r="A126" t="s">
        <v>13</v>
      </c>
      <c r="B126" t="s">
        <v>25</v>
      </c>
      <c r="C126" t="s">
        <v>60</v>
      </c>
      <c r="D126" t="s">
        <v>361</v>
      </c>
      <c r="E126" t="s">
        <v>362</v>
      </c>
      <c r="F126" s="16">
        <v>1</v>
      </c>
      <c r="G126">
        <v>80</v>
      </c>
      <c r="H126" s="16">
        <v>20</v>
      </c>
      <c r="I126" t="s">
        <v>363</v>
      </c>
    </row>
    <row r="127" spans="1:9" ht="18" customHeight="1" x14ac:dyDescent="0.25">
      <c r="A127" t="s">
        <v>13</v>
      </c>
      <c r="B127" t="s">
        <v>25</v>
      </c>
      <c r="C127" t="s">
        <v>47</v>
      </c>
      <c r="D127" t="s">
        <v>358</v>
      </c>
      <c r="E127" t="s">
        <v>359</v>
      </c>
      <c r="F127" s="16">
        <v>1</v>
      </c>
      <c r="G127">
        <v>80</v>
      </c>
      <c r="H127" s="16">
        <v>50</v>
      </c>
      <c r="I127" t="s">
        <v>360</v>
      </c>
    </row>
    <row r="128" spans="1:9" ht="18" customHeight="1" x14ac:dyDescent="0.25">
      <c r="A128" t="s">
        <v>13</v>
      </c>
      <c r="B128" t="s">
        <v>27</v>
      </c>
      <c r="C128" t="s">
        <v>148</v>
      </c>
      <c r="D128" t="s">
        <v>418</v>
      </c>
      <c r="E128" t="s">
        <v>419</v>
      </c>
      <c r="F128" s="16">
        <v>0</v>
      </c>
      <c r="G128">
        <v>10</v>
      </c>
      <c r="H128" s="16">
        <v>20</v>
      </c>
      <c r="I128" t="s">
        <v>420</v>
      </c>
    </row>
    <row r="129" spans="1:9" ht="18" customHeight="1" x14ac:dyDescent="0.25">
      <c r="A129" t="s">
        <v>13</v>
      </c>
      <c r="B129" t="s">
        <v>27</v>
      </c>
      <c r="C129" t="s">
        <v>96</v>
      </c>
      <c r="D129" t="s">
        <v>415</v>
      </c>
      <c r="E129" t="s">
        <v>416</v>
      </c>
      <c r="F129" s="16">
        <v>1</v>
      </c>
      <c r="G129">
        <v>80</v>
      </c>
      <c r="H129" s="16">
        <v>40</v>
      </c>
      <c r="I129" t="s">
        <v>417</v>
      </c>
    </row>
    <row r="130" spans="1:9" ht="18" customHeight="1" x14ac:dyDescent="0.25">
      <c r="A130" t="s">
        <v>13</v>
      </c>
      <c r="B130" t="s">
        <v>27</v>
      </c>
      <c r="C130" t="s">
        <v>96</v>
      </c>
      <c r="D130" t="s">
        <v>412</v>
      </c>
      <c r="E130" t="s">
        <v>413</v>
      </c>
      <c r="F130" s="16">
        <v>1</v>
      </c>
      <c r="G130">
        <v>90</v>
      </c>
      <c r="H130" s="16">
        <v>60</v>
      </c>
      <c r="I130" t="s">
        <v>414</v>
      </c>
    </row>
    <row r="131" spans="1:9" ht="18" customHeight="1" x14ac:dyDescent="0.25">
      <c r="A131" t="s">
        <v>13</v>
      </c>
      <c r="B131" t="s">
        <v>27</v>
      </c>
      <c r="C131" t="s">
        <v>96</v>
      </c>
      <c r="D131" t="s">
        <v>409</v>
      </c>
      <c r="E131" t="s">
        <v>410</v>
      </c>
      <c r="F131" s="16">
        <v>1</v>
      </c>
      <c r="G131">
        <v>100</v>
      </c>
      <c r="H131" s="16">
        <v>55</v>
      </c>
      <c r="I131" t="s">
        <v>411</v>
      </c>
    </row>
    <row r="132" spans="1:9" ht="18" customHeight="1" x14ac:dyDescent="0.25">
      <c r="A132" t="s">
        <v>13</v>
      </c>
      <c r="B132" t="s">
        <v>27</v>
      </c>
      <c r="C132" t="s">
        <v>290</v>
      </c>
      <c r="D132" t="s">
        <v>421</v>
      </c>
      <c r="E132" t="s">
        <v>422</v>
      </c>
      <c r="F132" s="16">
        <v>1</v>
      </c>
      <c r="G132">
        <v>80</v>
      </c>
      <c r="H132" s="16">
        <v>20</v>
      </c>
      <c r="I132" t="s">
        <v>423</v>
      </c>
    </row>
    <row r="133" spans="1:9" ht="18" customHeight="1" x14ac:dyDescent="0.25">
      <c r="A133" t="s">
        <v>13</v>
      </c>
      <c r="B133" t="s">
        <v>27</v>
      </c>
      <c r="C133" t="s">
        <v>35</v>
      </c>
      <c r="D133" t="s">
        <v>406</v>
      </c>
      <c r="E133" t="s">
        <v>407</v>
      </c>
      <c r="F133" s="16">
        <v>1</v>
      </c>
      <c r="G133">
        <v>90</v>
      </c>
      <c r="H133" s="16">
        <v>10</v>
      </c>
      <c r="I133" t="s">
        <v>408</v>
      </c>
    </row>
  </sheetData>
  <autoFilter ref="A1:I133" xr:uid="{672E4A78-646E-42EA-9A84-A556551C477A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4164C-A3DD-42A9-B6A0-14FE4FC6B296}">
  <sheetPr codeName="Sheet2"/>
  <dimension ref="A1:X12"/>
  <sheetViews>
    <sheetView tabSelected="1" workbookViewId="0">
      <selection activeCell="N9" sqref="N9"/>
    </sheetView>
  </sheetViews>
  <sheetFormatPr defaultRowHeight="15" x14ac:dyDescent="0.25"/>
  <cols>
    <col min="1" max="1" width="12.7109375" customWidth="1"/>
    <col min="2" max="6" width="4.85546875" customWidth="1"/>
    <col min="7" max="7" width="12.7109375" customWidth="1"/>
    <col min="8" max="12" width="4.85546875" customWidth="1"/>
    <col min="13" max="13" width="12.7109375" customWidth="1"/>
    <col min="14" max="14" width="7.140625" customWidth="1"/>
    <col min="15" max="19" width="4.85546875" customWidth="1"/>
    <col min="20" max="20" width="16.7109375" customWidth="1"/>
    <col min="21" max="24" width="4.85546875" customWidth="1"/>
  </cols>
  <sheetData>
    <row r="1" spans="1:24" ht="18" customHeight="1" x14ac:dyDescent="0.25">
      <c r="B1" t="s">
        <v>437</v>
      </c>
      <c r="H1" t="s">
        <v>444</v>
      </c>
      <c r="M1" s="36" t="s">
        <v>435</v>
      </c>
      <c r="N1" s="37" t="s">
        <v>10</v>
      </c>
      <c r="O1" s="37">
        <f>IF($N1="Aqua",B3,IF($N1="Bird",B4,IF($N1="Dawn",B5,IF($N1="Beast",B6,IF($N1="Bug",B7,IF($N1="Mech",B8,IF($N1="Plant",B9,IF($N1="Reptile",B10,B11))))))))</f>
        <v>43</v>
      </c>
      <c r="P1" s="37">
        <f t="shared" ref="P1:R1" si="0">IF($N1="Aqua",C3,IF($N1="Bird",C4,IF($N1="Dawn",C5,IF($N1="Beast",C6,IF($N1="Bug",C7,IF($N1="Mech",C8,IF($N1="Plant",C9,IF($N1="Reptile",C10,C11))))))))</f>
        <v>39</v>
      </c>
      <c r="Q1" s="37">
        <f t="shared" si="0"/>
        <v>27</v>
      </c>
      <c r="R1" s="37">
        <f t="shared" si="0"/>
        <v>31</v>
      </c>
      <c r="U1" t="s">
        <v>438</v>
      </c>
    </row>
    <row r="2" spans="1:24" ht="18" customHeight="1" thickBot="1" x14ac:dyDescent="0.3">
      <c r="A2" s="1" t="s">
        <v>0</v>
      </c>
      <c r="B2" s="1" t="s">
        <v>15</v>
      </c>
      <c r="C2" s="1" t="s">
        <v>16</v>
      </c>
      <c r="D2" s="1" t="s">
        <v>17</v>
      </c>
      <c r="E2" s="1" t="s">
        <v>18</v>
      </c>
      <c r="F2" s="1"/>
      <c r="G2" s="1" t="s">
        <v>0</v>
      </c>
      <c r="H2" s="1" t="s">
        <v>15</v>
      </c>
      <c r="I2" s="1" t="s">
        <v>16</v>
      </c>
      <c r="J2" s="1" t="s">
        <v>17</v>
      </c>
      <c r="K2" s="1" t="s">
        <v>18</v>
      </c>
      <c r="M2" s="40" t="s">
        <v>0</v>
      </c>
      <c r="N2" s="44" t="s">
        <v>434</v>
      </c>
      <c r="O2" s="41" t="s">
        <v>15</v>
      </c>
      <c r="P2" s="42" t="s">
        <v>16</v>
      </c>
      <c r="Q2" s="42" t="s">
        <v>17</v>
      </c>
      <c r="R2" s="43" t="s">
        <v>18</v>
      </c>
      <c r="T2" s="1" t="s">
        <v>0</v>
      </c>
      <c r="U2" s="1" t="s">
        <v>15</v>
      </c>
      <c r="V2" s="1" t="s">
        <v>16</v>
      </c>
      <c r="W2" s="1" t="s">
        <v>17</v>
      </c>
      <c r="X2" s="1" t="s">
        <v>18</v>
      </c>
    </row>
    <row r="3" spans="1:24" ht="18" customHeight="1" thickBot="1" x14ac:dyDescent="0.3">
      <c r="A3" t="s">
        <v>4</v>
      </c>
      <c r="B3" s="7">
        <v>39</v>
      </c>
      <c r="C3" s="7">
        <v>39</v>
      </c>
      <c r="D3" s="7">
        <v>35</v>
      </c>
      <c r="E3" s="7">
        <v>27</v>
      </c>
      <c r="F3" s="2"/>
      <c r="G3" t="s">
        <v>4</v>
      </c>
      <c r="H3" s="2">
        <v>1</v>
      </c>
      <c r="I3" s="2">
        <v>3</v>
      </c>
      <c r="J3" s="2"/>
      <c r="K3" s="2"/>
      <c r="M3" s="27" t="s">
        <v>4</v>
      </c>
      <c r="N3" s="45">
        <v>1</v>
      </c>
      <c r="O3" s="30">
        <f t="shared" ref="O3:O11" si="1">N3*H3</f>
        <v>1</v>
      </c>
      <c r="P3" s="31">
        <f t="shared" ref="P3:P11" si="2">N3*I3</f>
        <v>3</v>
      </c>
      <c r="Q3" s="31">
        <f t="shared" ref="Q3:Q11" si="3">N3*J3</f>
        <v>0</v>
      </c>
      <c r="R3" s="32">
        <f t="shared" ref="R3:R11" si="4">N3*K3</f>
        <v>0</v>
      </c>
      <c r="T3" t="s">
        <v>4</v>
      </c>
      <c r="U3" s="18">
        <v>45</v>
      </c>
      <c r="V3" s="19">
        <v>57</v>
      </c>
      <c r="W3" s="48">
        <v>35</v>
      </c>
      <c r="X3" s="48">
        <v>27</v>
      </c>
    </row>
    <row r="4" spans="1:24" ht="18" customHeight="1" thickBot="1" x14ac:dyDescent="0.3">
      <c r="A4" t="s">
        <v>22</v>
      </c>
      <c r="B4" s="8">
        <v>27</v>
      </c>
      <c r="C4" s="8">
        <v>43</v>
      </c>
      <c r="D4" s="8">
        <v>35</v>
      </c>
      <c r="E4" s="8">
        <v>35</v>
      </c>
      <c r="F4" s="2"/>
      <c r="G4" t="s">
        <v>22</v>
      </c>
      <c r="H4" s="2"/>
      <c r="I4" s="2">
        <v>3</v>
      </c>
      <c r="J4" s="2"/>
      <c r="K4" s="2">
        <v>1</v>
      </c>
      <c r="M4" s="28" t="s">
        <v>22</v>
      </c>
      <c r="N4" s="46"/>
      <c r="O4" s="33">
        <f t="shared" si="1"/>
        <v>0</v>
      </c>
      <c r="P4" s="34">
        <f t="shared" si="2"/>
        <v>0</v>
      </c>
      <c r="Q4" s="34">
        <f t="shared" si="3"/>
        <v>0</v>
      </c>
      <c r="R4" s="35">
        <f t="shared" si="4"/>
        <v>0</v>
      </c>
      <c r="T4" t="s">
        <v>22</v>
      </c>
      <c r="U4" s="48">
        <v>27</v>
      </c>
      <c r="V4" s="20">
        <v>61</v>
      </c>
      <c r="W4" s="48">
        <v>35</v>
      </c>
      <c r="X4" s="20">
        <v>41</v>
      </c>
    </row>
    <row r="5" spans="1:24" ht="18" customHeight="1" thickBot="1" x14ac:dyDescent="0.3">
      <c r="A5" t="s">
        <v>19</v>
      </c>
      <c r="B5" s="10">
        <v>35</v>
      </c>
      <c r="C5" s="10">
        <v>35</v>
      </c>
      <c r="D5" s="10">
        <v>39</v>
      </c>
      <c r="E5" s="10">
        <v>31</v>
      </c>
      <c r="F5" s="2"/>
      <c r="G5" t="s">
        <v>19</v>
      </c>
      <c r="H5" s="2"/>
      <c r="I5" s="2"/>
      <c r="J5" s="2"/>
      <c r="K5" s="2"/>
      <c r="M5" s="28" t="s">
        <v>19</v>
      </c>
      <c r="N5" s="46"/>
      <c r="O5" s="33">
        <f t="shared" si="1"/>
        <v>0</v>
      </c>
      <c r="P5" s="34">
        <f t="shared" si="2"/>
        <v>0</v>
      </c>
      <c r="Q5" s="34">
        <f t="shared" si="3"/>
        <v>0</v>
      </c>
      <c r="R5" s="35">
        <f t="shared" si="4"/>
        <v>0</v>
      </c>
      <c r="T5" t="s">
        <v>19</v>
      </c>
      <c r="U5" s="48"/>
      <c r="V5" s="48"/>
      <c r="W5" s="48"/>
      <c r="X5" s="48"/>
    </row>
    <row r="6" spans="1:24" ht="18" customHeight="1" thickBot="1" x14ac:dyDescent="0.3">
      <c r="A6" t="s">
        <v>21</v>
      </c>
      <c r="B6" s="6">
        <v>31</v>
      </c>
      <c r="C6" s="6">
        <v>35</v>
      </c>
      <c r="D6" s="6">
        <v>31</v>
      </c>
      <c r="E6" s="6">
        <v>43</v>
      </c>
      <c r="F6" s="2"/>
      <c r="G6" t="s">
        <v>21</v>
      </c>
      <c r="H6" s="2"/>
      <c r="I6" s="2">
        <v>1</v>
      </c>
      <c r="J6" s="2"/>
      <c r="K6" s="2">
        <v>3</v>
      </c>
      <c r="M6" s="28" t="s">
        <v>21</v>
      </c>
      <c r="N6" s="46"/>
      <c r="O6" s="33">
        <f t="shared" si="1"/>
        <v>0</v>
      </c>
      <c r="P6" s="34">
        <f t="shared" si="2"/>
        <v>0</v>
      </c>
      <c r="Q6" s="34">
        <f t="shared" si="3"/>
        <v>0</v>
      </c>
      <c r="R6" s="35">
        <f t="shared" si="4"/>
        <v>0</v>
      </c>
      <c r="T6" t="s">
        <v>21</v>
      </c>
      <c r="U6" s="48">
        <v>31</v>
      </c>
      <c r="V6" s="21">
        <v>41</v>
      </c>
      <c r="W6" s="48">
        <v>31</v>
      </c>
      <c r="X6" s="22">
        <v>61</v>
      </c>
    </row>
    <row r="7" spans="1:24" ht="18" customHeight="1" thickBot="1" x14ac:dyDescent="0.3">
      <c r="A7" t="s">
        <v>14</v>
      </c>
      <c r="B7" s="14">
        <v>35</v>
      </c>
      <c r="C7" s="14">
        <v>31</v>
      </c>
      <c r="D7" s="14">
        <v>35</v>
      </c>
      <c r="E7" s="14">
        <v>39</v>
      </c>
      <c r="F7" s="2"/>
      <c r="G7" t="s">
        <v>14</v>
      </c>
      <c r="H7" s="2">
        <v>1</v>
      </c>
      <c r="I7" s="2"/>
      <c r="J7" s="2"/>
      <c r="K7" s="2">
        <v>3</v>
      </c>
      <c r="M7" s="28" t="s">
        <v>14</v>
      </c>
      <c r="N7" s="46">
        <v>5</v>
      </c>
      <c r="O7" s="33">
        <f t="shared" si="1"/>
        <v>5</v>
      </c>
      <c r="P7" s="34">
        <f t="shared" si="2"/>
        <v>0</v>
      </c>
      <c r="Q7" s="34">
        <f t="shared" si="3"/>
        <v>0</v>
      </c>
      <c r="R7" s="35">
        <f t="shared" si="4"/>
        <v>15</v>
      </c>
      <c r="T7" t="s">
        <v>14</v>
      </c>
      <c r="U7" s="23">
        <v>41</v>
      </c>
      <c r="V7" s="48">
        <v>31</v>
      </c>
      <c r="W7" s="48">
        <v>35</v>
      </c>
      <c r="X7" s="23">
        <v>57</v>
      </c>
    </row>
    <row r="8" spans="1:24" ht="18" customHeight="1" thickBot="1" x14ac:dyDescent="0.3">
      <c r="A8" t="s">
        <v>20</v>
      </c>
      <c r="B8" s="11">
        <v>31</v>
      </c>
      <c r="C8" s="11">
        <v>39</v>
      </c>
      <c r="D8" s="11">
        <v>43</v>
      </c>
      <c r="E8" s="11">
        <v>27</v>
      </c>
      <c r="F8" s="2"/>
      <c r="G8" t="s">
        <v>20</v>
      </c>
      <c r="H8" s="2"/>
      <c r="I8" s="2"/>
      <c r="J8" s="2"/>
      <c r="K8" s="2"/>
      <c r="M8" s="28" t="s">
        <v>20</v>
      </c>
      <c r="N8" s="46"/>
      <c r="O8" s="33">
        <f t="shared" si="1"/>
        <v>0</v>
      </c>
      <c r="P8" s="34">
        <f t="shared" si="2"/>
        <v>0</v>
      </c>
      <c r="Q8" s="34">
        <f t="shared" si="3"/>
        <v>0</v>
      </c>
      <c r="R8" s="35">
        <f t="shared" si="4"/>
        <v>0</v>
      </c>
      <c r="T8" t="s">
        <v>20</v>
      </c>
      <c r="U8" s="48"/>
      <c r="V8" s="48"/>
      <c r="W8" s="48"/>
      <c r="X8" s="48"/>
    </row>
    <row r="9" spans="1:24" ht="18" customHeight="1" thickBot="1" x14ac:dyDescent="0.3">
      <c r="A9" t="s">
        <v>5</v>
      </c>
      <c r="B9" s="12">
        <v>43</v>
      </c>
      <c r="C9" s="12">
        <v>31</v>
      </c>
      <c r="D9" s="12">
        <v>31</v>
      </c>
      <c r="E9" s="12">
        <v>35</v>
      </c>
      <c r="F9" s="2"/>
      <c r="G9" t="s">
        <v>5</v>
      </c>
      <c r="H9" s="2">
        <v>3</v>
      </c>
      <c r="I9" s="2"/>
      <c r="J9" s="2"/>
      <c r="K9" s="2">
        <v>1</v>
      </c>
      <c r="M9" s="28" t="s">
        <v>5</v>
      </c>
      <c r="N9" s="46"/>
      <c r="O9" s="33">
        <f t="shared" si="1"/>
        <v>0</v>
      </c>
      <c r="P9" s="34">
        <f t="shared" si="2"/>
        <v>0</v>
      </c>
      <c r="Q9" s="34">
        <f t="shared" si="3"/>
        <v>0</v>
      </c>
      <c r="R9" s="35">
        <f t="shared" si="4"/>
        <v>0</v>
      </c>
      <c r="T9" t="s">
        <v>5</v>
      </c>
      <c r="U9" s="25">
        <v>61</v>
      </c>
      <c r="V9" s="48">
        <v>31</v>
      </c>
      <c r="W9" s="48">
        <v>31</v>
      </c>
      <c r="X9" s="24">
        <v>41</v>
      </c>
    </row>
    <row r="10" spans="1:24" ht="18" customHeight="1" thickBot="1" x14ac:dyDescent="0.3">
      <c r="A10" t="s">
        <v>13</v>
      </c>
      <c r="B10" s="13">
        <v>39</v>
      </c>
      <c r="C10" s="13">
        <v>35</v>
      </c>
      <c r="D10" s="13">
        <v>31</v>
      </c>
      <c r="E10" s="13">
        <v>35</v>
      </c>
      <c r="F10" s="2"/>
      <c r="G10" t="s">
        <v>13</v>
      </c>
      <c r="H10" s="2">
        <v>3</v>
      </c>
      <c r="I10" s="2">
        <v>1</v>
      </c>
      <c r="J10" s="2"/>
      <c r="K10" s="2"/>
      <c r="M10" s="28" t="s">
        <v>13</v>
      </c>
      <c r="N10" s="46"/>
      <c r="O10" s="33">
        <f t="shared" si="1"/>
        <v>0</v>
      </c>
      <c r="P10" s="34">
        <f t="shared" si="2"/>
        <v>0</v>
      </c>
      <c r="Q10" s="34">
        <f t="shared" si="3"/>
        <v>0</v>
      </c>
      <c r="R10" s="35">
        <f t="shared" si="4"/>
        <v>0</v>
      </c>
      <c r="T10" t="s">
        <v>13</v>
      </c>
      <c r="U10" s="26">
        <v>57</v>
      </c>
      <c r="V10" s="26">
        <v>41</v>
      </c>
      <c r="W10" s="48">
        <v>31</v>
      </c>
      <c r="X10" s="48">
        <v>35</v>
      </c>
    </row>
    <row r="11" spans="1:24" ht="18" customHeight="1" x14ac:dyDescent="0.25">
      <c r="A11" t="s">
        <v>10</v>
      </c>
      <c r="B11" s="9">
        <v>43</v>
      </c>
      <c r="C11" s="9">
        <v>39</v>
      </c>
      <c r="D11" s="9">
        <v>27</v>
      </c>
      <c r="E11" s="9">
        <v>31</v>
      </c>
      <c r="F11" s="17"/>
      <c r="G11" t="s">
        <v>10</v>
      </c>
      <c r="H11" s="17"/>
      <c r="I11" s="17"/>
      <c r="J11" s="17"/>
      <c r="K11" s="17"/>
      <c r="M11" s="29" t="s">
        <v>10</v>
      </c>
      <c r="N11" s="47"/>
      <c r="O11" s="33">
        <f t="shared" si="1"/>
        <v>0</v>
      </c>
      <c r="P11" s="34">
        <f t="shared" si="2"/>
        <v>0</v>
      </c>
      <c r="Q11" s="34">
        <f t="shared" si="3"/>
        <v>0</v>
      </c>
      <c r="R11" s="35">
        <f t="shared" si="4"/>
        <v>0</v>
      </c>
      <c r="T11" t="s">
        <v>10</v>
      </c>
      <c r="U11" s="11"/>
      <c r="V11" s="11"/>
      <c r="W11" s="11"/>
      <c r="X11" s="11"/>
    </row>
    <row r="12" spans="1:24" ht="18" customHeight="1" x14ac:dyDescent="0.25">
      <c r="N12" s="39" t="s">
        <v>436</v>
      </c>
      <c r="O12" s="36">
        <f>SUM(O3:O11)+O1</f>
        <v>49</v>
      </c>
      <c r="P12" s="37">
        <f t="shared" ref="P12:R12" si="5">SUM(P3:P11)+P1</f>
        <v>42</v>
      </c>
      <c r="Q12" s="37">
        <f t="shared" si="5"/>
        <v>27</v>
      </c>
      <c r="R12" s="38">
        <f t="shared" si="5"/>
        <v>46</v>
      </c>
    </row>
  </sheetData>
  <dataValidations count="1">
    <dataValidation type="list" allowBlank="1" showInputMessage="1" showErrorMessage="1" sqref="N1" xr:uid="{DE8FADC1-8ADD-404C-8871-C00E11B79987}">
      <formula1>$M$3:$M$11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94D2A-11E6-4B61-8F9B-A2D773DACD9D}">
  <sheetPr codeName="Sheet1"/>
  <dimension ref="A1:T9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9.28515625" customWidth="1"/>
    <col min="2" max="2" width="8.28515625" customWidth="1"/>
    <col min="3" max="3" width="6.28515625" customWidth="1"/>
    <col min="4" max="4" width="6.5703125" customWidth="1"/>
    <col min="5" max="8" width="4.85546875" customWidth="1"/>
    <col min="9" max="14" width="8.85546875" customWidth="1"/>
    <col min="15" max="15" width="55.5703125" customWidth="1"/>
    <col min="16" max="16" width="9.7109375" customWidth="1"/>
    <col min="17" max="17" width="11.7109375" customWidth="1"/>
    <col min="18" max="18" width="16.42578125" customWidth="1"/>
    <col min="19" max="19" width="22.5703125" customWidth="1"/>
    <col min="20" max="20" width="9.7109375" bestFit="1" customWidth="1"/>
  </cols>
  <sheetData>
    <row r="1" spans="1:20" ht="30.75" customHeight="1" x14ac:dyDescent="0.25">
      <c r="A1" s="1" t="s">
        <v>439</v>
      </c>
      <c r="B1" s="1" t="s">
        <v>0</v>
      </c>
      <c r="C1" s="1" t="s">
        <v>1</v>
      </c>
      <c r="D1" s="1" t="s">
        <v>2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23</v>
      </c>
      <c r="J1" s="1" t="s">
        <v>24</v>
      </c>
      <c r="K1" s="1" t="s">
        <v>26</v>
      </c>
      <c r="L1" s="1" t="s">
        <v>25</v>
      </c>
      <c r="M1" s="1" t="s">
        <v>67</v>
      </c>
      <c r="N1" s="1" t="s">
        <v>27</v>
      </c>
      <c r="O1" s="1" t="s">
        <v>11</v>
      </c>
      <c r="P1" s="3" t="s">
        <v>7</v>
      </c>
      <c r="Q1" s="3" t="s">
        <v>8</v>
      </c>
      <c r="R1" s="3" t="s">
        <v>12</v>
      </c>
      <c r="S1" s="1" t="s">
        <v>3</v>
      </c>
      <c r="T1" s="4"/>
    </row>
    <row r="2" spans="1:20" x14ac:dyDescent="0.25">
      <c r="A2" s="2">
        <v>3112372</v>
      </c>
      <c r="B2" t="s">
        <v>4</v>
      </c>
      <c r="C2">
        <v>2</v>
      </c>
      <c r="D2" s="15" cm="1">
        <f t="array" ref="D2">FUNC_GetAxiePurityAsPercentage(5,3,2)</f>
        <v>0.73958333333333337</v>
      </c>
      <c r="E2">
        <v>47</v>
      </c>
      <c r="F2">
        <v>54</v>
      </c>
      <c r="G2">
        <v>35</v>
      </c>
      <c r="H2">
        <v>28</v>
      </c>
      <c r="I2" t="s">
        <v>440</v>
      </c>
      <c r="J2" t="s">
        <v>428</v>
      </c>
      <c r="K2" t="s">
        <v>326</v>
      </c>
      <c r="L2" t="s">
        <v>36</v>
      </c>
      <c r="M2" t="s">
        <v>48</v>
      </c>
      <c r="N2" t="s">
        <v>90</v>
      </c>
      <c r="O2" t="str">
        <f>IFERROR(VLOOKUP(K2,BodyCard!D:E,2,0)&amp;", "&amp;VLOOKUP(L2,BodyCard!D:E,2,0)&amp;", "&amp;VLOOKUP(M2,BodyCard!D:E,2,0)&amp;", "&amp;VLOOKUP(N2,BodyCard!D:E,2,0),"")</f>
        <v>Cleanse Scent, Fish Hook, Star Shuriken, Upstream Swim</v>
      </c>
      <c r="P2" s="5">
        <v>0.33</v>
      </c>
      <c r="Q2" s="5">
        <v>0.3</v>
      </c>
      <c r="R2" t="s">
        <v>443</v>
      </c>
      <c r="S2" t="s">
        <v>9</v>
      </c>
    </row>
    <row r="3" spans="1:20" x14ac:dyDescent="0.25">
      <c r="A3" s="2">
        <v>2139816</v>
      </c>
      <c r="B3" t="s">
        <v>5</v>
      </c>
      <c r="C3">
        <v>3</v>
      </c>
      <c r="D3" s="15" cm="1">
        <f t="array" ref="D3">FUNC_GetAxiePurityAsPercentage(6,5,3)</f>
        <v>0.9375</v>
      </c>
      <c r="E3">
        <v>61</v>
      </c>
      <c r="F3">
        <v>31</v>
      </c>
      <c r="G3">
        <v>31</v>
      </c>
      <c r="H3">
        <v>41</v>
      </c>
      <c r="I3" t="s">
        <v>441</v>
      </c>
      <c r="J3" t="s">
        <v>442</v>
      </c>
      <c r="K3" t="s">
        <v>323</v>
      </c>
      <c r="L3" t="s">
        <v>294</v>
      </c>
      <c r="M3" t="s">
        <v>311</v>
      </c>
      <c r="N3" t="s">
        <v>343</v>
      </c>
      <c r="O3" t="str">
        <f>IFERROR(VLOOKUP(K3,BodyCard!D:E,2,0)&amp;", "&amp;VLOOKUP(L3,BodyCard!D:E,2,0)&amp;", "&amp;VLOOKUP(M3,BodyCard!D:E,2,0)&amp;", "&amp;VLOOKUP(N3,BodyCard!D:E,2,0),"")</f>
        <v>October Treat, Vegetal Bite, Healing Aroma, Spicy Surprise</v>
      </c>
      <c r="P3" s="5">
        <v>0.2024</v>
      </c>
      <c r="Q3" s="5"/>
      <c r="R3" t="s">
        <v>6</v>
      </c>
      <c r="S3" t="s">
        <v>9</v>
      </c>
    </row>
    <row r="4" spans="1:20" x14ac:dyDescent="0.25">
      <c r="A4" s="2">
        <v>2193382</v>
      </c>
      <c r="B4" t="s">
        <v>4</v>
      </c>
      <c r="C4">
        <v>3</v>
      </c>
      <c r="D4" s="15" cm="1">
        <f t="array" ref="D4">FUNC_GetAxiePurityAsPercentage(6,4,4)</f>
        <v>0.91666666666666663</v>
      </c>
      <c r="E4">
        <v>45</v>
      </c>
      <c r="F4">
        <v>57</v>
      </c>
      <c r="G4">
        <v>35</v>
      </c>
      <c r="H4">
        <v>27</v>
      </c>
      <c r="I4" t="s">
        <v>440</v>
      </c>
      <c r="J4" t="s">
        <v>84</v>
      </c>
      <c r="K4" t="s">
        <v>78</v>
      </c>
      <c r="L4" t="s">
        <v>39</v>
      </c>
      <c r="M4" t="s">
        <v>51</v>
      </c>
      <c r="N4" t="s">
        <v>84</v>
      </c>
      <c r="O4" t="str">
        <f>IFERROR(VLOOKUP(K4,BodyCard!D:E,2,0)&amp;", "&amp;VLOOKUP(L4,BodyCard!D:E,2,0)&amp;", "&amp;VLOOKUP(M4,BodyCard!D:E,2,0)&amp;", "&amp;VLOOKUP(N4,BodyCard!D:E,2,0),"")</f>
        <v>Shipwreck, Crimson Water, Hero’s Bane, Tail Slap</v>
      </c>
      <c r="P4" s="5">
        <v>0.39760000000000001</v>
      </c>
      <c r="Q4" s="5"/>
      <c r="R4" t="s">
        <v>6</v>
      </c>
      <c r="S4" t="s">
        <v>9</v>
      </c>
    </row>
    <row r="5" spans="1:20" x14ac:dyDescent="0.25">
      <c r="A5">
        <v>3886118</v>
      </c>
      <c r="B5" t="s">
        <v>4</v>
      </c>
      <c r="C5">
        <v>0</v>
      </c>
      <c r="D5" s="15" cm="1">
        <f t="array" ref="D5">FUNC_GetAxiePurityAsPercentage(5,5,6)</f>
        <v>0.84375</v>
      </c>
      <c r="E5">
        <v>47</v>
      </c>
      <c r="F5">
        <v>54</v>
      </c>
      <c r="G5">
        <v>35</v>
      </c>
      <c r="H5">
        <v>28</v>
      </c>
      <c r="I5" t="s">
        <v>427</v>
      </c>
      <c r="J5" t="s">
        <v>428</v>
      </c>
      <c r="K5" t="s">
        <v>68</v>
      </c>
      <c r="L5" t="s">
        <v>36</v>
      </c>
      <c r="M5" t="s">
        <v>54</v>
      </c>
      <c r="N5" t="s">
        <v>90</v>
      </c>
      <c r="O5" t="str">
        <f>IFERROR(VLOOKUP(K5,BodyCard!D:E,2,0)&amp;", "&amp;VLOOKUP(L5,BodyCard!D:E,2,0)&amp;", "&amp;VLOOKUP(M5,BodyCard!D:E,2,0)&amp;", "&amp;VLOOKUP(N5,BodyCard!D:E,2,0),"")</f>
        <v>Swift Escape, Fish Hook, Clam Slash, Upstream Swim</v>
      </c>
      <c r="P5" s="5">
        <v>0.14000000000000001</v>
      </c>
      <c r="Q5" s="5"/>
      <c r="R5" t="s">
        <v>6</v>
      </c>
    </row>
    <row r="6" spans="1:20" x14ac:dyDescent="0.25">
      <c r="A6">
        <v>3736004</v>
      </c>
      <c r="B6" t="s">
        <v>13</v>
      </c>
      <c r="C6">
        <v>4</v>
      </c>
      <c r="D6" s="15" cm="1">
        <f t="array" ref="D6">FUNC_GetAxiePurityAsPercentage(6,5,5)</f>
        <v>0.95833333333333337</v>
      </c>
      <c r="E6">
        <v>57</v>
      </c>
      <c r="F6">
        <v>41</v>
      </c>
      <c r="G6">
        <v>31</v>
      </c>
      <c r="H6">
        <v>35</v>
      </c>
      <c r="I6" t="s">
        <v>429</v>
      </c>
      <c r="J6" t="s">
        <v>430</v>
      </c>
      <c r="K6" t="s">
        <v>394</v>
      </c>
      <c r="L6" t="s">
        <v>361</v>
      </c>
      <c r="M6" t="s">
        <v>370</v>
      </c>
      <c r="N6" t="s">
        <v>412</v>
      </c>
      <c r="O6" t="str">
        <f>IFERROR(VLOOKUP(K6,BodyCard!D:E,2,0)&amp;", "&amp;VLOOKUP(L6,BodyCard!D:E,2,0)&amp;", "&amp;VLOOKUP(M6,BodyCard!D:E,2,0)&amp;", "&amp;VLOOKUP(N6,BodyCard!D:E,2,0),"")</f>
        <v>Slippery Shield, Kotaro Bite, Disarm, Scale Dart</v>
      </c>
      <c r="P6" s="5">
        <v>0.15</v>
      </c>
      <c r="R6" t="s">
        <v>6</v>
      </c>
    </row>
    <row r="7" spans="1:20" x14ac:dyDescent="0.25">
      <c r="A7">
        <v>3439677</v>
      </c>
      <c r="B7" t="s">
        <v>21</v>
      </c>
      <c r="C7">
        <v>3</v>
      </c>
      <c r="D7" s="15" cm="1">
        <f t="array" ref="D7">FUNC_GetAxiePurityAsPercentage(6,5,3)</f>
        <v>0.9375</v>
      </c>
      <c r="E7">
        <v>31</v>
      </c>
      <c r="F7">
        <v>41</v>
      </c>
      <c r="G7">
        <v>31</v>
      </c>
      <c r="H7">
        <v>61</v>
      </c>
      <c r="I7" t="s">
        <v>431</v>
      </c>
      <c r="J7" t="s">
        <v>103</v>
      </c>
      <c r="K7" t="s">
        <v>149</v>
      </c>
      <c r="L7" t="s">
        <v>103</v>
      </c>
      <c r="M7" t="s">
        <v>115</v>
      </c>
      <c r="N7" t="s">
        <v>153</v>
      </c>
      <c r="O7" t="str">
        <f>IFERROR(VLOOKUP(K7,BodyCard!D:E,2,0)&amp;", "&amp;VLOOKUP(L7,BodyCard!D:E,2,0)&amp;", "&amp;VLOOKUP(M7,BodyCard!D:E,2,0)&amp;", "&amp;VLOOKUP(N7,BodyCard!D:E,2,0),"")</f>
        <v>Heroic Reward, Nut Crack, Ivory Stab, Luna Absorb</v>
      </c>
      <c r="P7" s="5">
        <v>0.09</v>
      </c>
      <c r="Q7" s="5"/>
      <c r="R7" t="s">
        <v>6</v>
      </c>
    </row>
    <row r="8" spans="1:20" x14ac:dyDescent="0.25">
      <c r="A8">
        <v>3052360</v>
      </c>
      <c r="B8" t="s">
        <v>21</v>
      </c>
      <c r="C8">
        <v>3</v>
      </c>
      <c r="D8" s="15" cm="1">
        <f t="array" ref="D8">FUNC_GetAxiePurityAsPercentage(6,5,6)</f>
        <v>0.96875</v>
      </c>
      <c r="E8">
        <v>31</v>
      </c>
      <c r="F8">
        <v>41</v>
      </c>
      <c r="G8">
        <v>31</v>
      </c>
      <c r="H8">
        <v>61</v>
      </c>
      <c r="I8" t="s">
        <v>432</v>
      </c>
      <c r="J8" t="s">
        <v>433</v>
      </c>
      <c r="K8" t="s">
        <v>133</v>
      </c>
      <c r="L8" t="s">
        <v>109</v>
      </c>
      <c r="M8" t="s">
        <v>115</v>
      </c>
      <c r="N8" t="s">
        <v>103</v>
      </c>
      <c r="O8" t="str">
        <f>IFERROR(VLOOKUP(K8,BodyCard!D:E,2,0)&amp;", "&amp;VLOOKUP(L8,BodyCard!D:E,2,0)&amp;", "&amp;VLOOKUP(M8,BodyCard!D:E,2,0)&amp;", "&amp;VLOOKUP(N8,BodyCard!D:E,2,0),"")</f>
        <v>Single Combat, Self Rally, Ivory Stab, Nut Crack</v>
      </c>
      <c r="P8" s="5">
        <v>0.09</v>
      </c>
      <c r="Q8" s="5"/>
      <c r="R8" t="s">
        <v>6</v>
      </c>
    </row>
    <row r="9" spans="1:20" x14ac:dyDescent="0.25">
      <c r="D9" s="1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BodyCard</vt:lpstr>
      <vt:lpstr>ClassStats</vt:lpstr>
      <vt:lpstr>Shopping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Wu</dc:creator>
  <cp:lastModifiedBy>Benjamin Wu</cp:lastModifiedBy>
  <dcterms:created xsi:type="dcterms:W3CDTF">2021-08-11T14:43:58Z</dcterms:created>
  <dcterms:modified xsi:type="dcterms:W3CDTF">2021-08-19T05:45:45Z</dcterms:modified>
</cp:coreProperties>
</file>